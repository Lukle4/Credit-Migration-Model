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d9728920544da358/ESCP stuff/Thesis/credit-migration-model/"/>
    </mc:Choice>
  </mc:AlternateContent>
  <xr:revisionPtr revIDLastSave="2" documentId="11_20D4AC5278EAD8758D2269FA4183768C0C12CEAB" xr6:coauthVersionLast="47" xr6:coauthVersionMax="47" xr10:uidLastSave="{A0C3A118-D802-489B-8115-3592D27FD816}"/>
  <bookViews>
    <workbookView xWindow="-120" yWindow="-120" windowWidth="29040" windowHeight="15720" activeTab="1" xr2:uid="{00000000-000D-0000-FFFF-FFFF00000000}"/>
  </bookViews>
  <sheets>
    <sheet name="README" sheetId="1" r:id="rId1"/>
    <sheet name="Scenario" sheetId="2" r:id="rId2"/>
    <sheet name="Model_Weights" sheetId="3" r:id="rId3"/>
    <sheet name="Calc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4" l="1"/>
  <c r="D47" i="4"/>
  <c r="C47" i="4"/>
  <c r="B47" i="4"/>
  <c r="B41" i="4"/>
  <c r="B46" i="4" s="1"/>
  <c r="C37" i="4"/>
  <c r="C41" i="4" s="1"/>
  <c r="B36" i="4"/>
  <c r="B29" i="4"/>
  <c r="B30" i="4" s="1"/>
  <c r="B40" i="4" s="1"/>
  <c r="D3" i="4"/>
  <c r="D2" i="4" s="1"/>
  <c r="D4" i="4" s="1"/>
  <c r="C3" i="4"/>
  <c r="C2" i="4"/>
  <c r="E14" i="2"/>
  <c r="D14" i="2"/>
  <c r="C14" i="2"/>
  <c r="B14" i="2"/>
  <c r="B13" i="2"/>
  <c r="E3" i="4" l="1"/>
  <c r="C46" i="4"/>
  <c r="C13" i="2"/>
  <c r="B45" i="4"/>
  <c r="B12" i="2"/>
  <c r="E2" i="4"/>
  <c r="E4" i="4" s="1"/>
  <c r="C4" i="4"/>
  <c r="B22" i="4"/>
  <c r="B23" i="4" s="1"/>
  <c r="B8" i="4"/>
  <c r="B9" i="4" s="1"/>
  <c r="B25" i="4"/>
  <c r="B26" i="4" s="1"/>
  <c r="B11" i="4"/>
  <c r="B12" i="4" s="1"/>
  <c r="C7" i="2" l="1"/>
  <c r="B28" i="4"/>
  <c r="E30" i="4" s="1"/>
  <c r="E40" i="4" s="1"/>
  <c r="B27" i="4"/>
  <c r="D30" i="4" s="1"/>
  <c r="D40" i="4" s="1"/>
  <c r="B24" i="4"/>
  <c r="C30" i="4" s="1"/>
  <c r="C40" i="4" s="1"/>
  <c r="B33" i="4"/>
  <c r="B34" i="4" s="1"/>
  <c r="B14" i="4"/>
  <c r="B13" i="4"/>
  <c r="C19" i="4" s="1"/>
  <c r="C39" i="4" s="1"/>
  <c r="B10" i="4"/>
  <c r="B19" i="4" s="1"/>
  <c r="B39" i="4" s="1"/>
  <c r="B15" i="4"/>
  <c r="B16" i="4" s="1"/>
  <c r="B11" i="2" l="1"/>
  <c r="B44" i="4"/>
  <c r="B18" i="4"/>
  <c r="E19" i="4" s="1"/>
  <c r="E39" i="4" s="1"/>
  <c r="B17" i="4"/>
  <c r="D19" i="4" s="1"/>
  <c r="D39" i="4" s="1"/>
  <c r="C44" i="4"/>
  <c r="C11" i="2"/>
  <c r="B35" i="4"/>
  <c r="D37" i="4" s="1"/>
  <c r="D41" i="4" s="1"/>
  <c r="E37" i="4"/>
  <c r="E41" i="4" s="1"/>
  <c r="C45" i="4"/>
  <c r="C12" i="2"/>
  <c r="D45" i="4"/>
  <c r="D12" i="2"/>
  <c r="E45" i="4"/>
  <c r="E12" i="2"/>
  <c r="E13" i="2" l="1"/>
  <c r="E46" i="4"/>
  <c r="D46" i="4"/>
  <c r="D13" i="2"/>
  <c r="D11" i="2"/>
  <c r="D44" i="4"/>
  <c r="E44" i="4"/>
  <c r="E11" i="2"/>
  <c r="B48" i="4" l="1" a="1"/>
  <c r="C50" i="4" s="1"/>
  <c r="D50" i="4" l="1"/>
  <c r="E50" i="4"/>
  <c r="B51" i="4"/>
  <c r="C51" i="4"/>
  <c r="D51" i="4"/>
  <c r="B48" i="4"/>
  <c r="E51" i="4"/>
  <c r="C48" i="4"/>
  <c r="D48" i="4"/>
  <c r="E48" i="4"/>
  <c r="B49" i="4"/>
  <c r="C49" i="4"/>
  <c r="D49" i="4"/>
  <c r="E49" i="4"/>
  <c r="B50" i="4"/>
  <c r="B52" i="4" a="1"/>
  <c r="B54" i="4" l="1"/>
  <c r="E53" i="4"/>
  <c r="D53" i="4"/>
  <c r="C53" i="4"/>
  <c r="B53" i="4"/>
  <c r="E52" i="4"/>
  <c r="D52" i="4"/>
  <c r="C52" i="4"/>
  <c r="E55" i="4"/>
  <c r="B52" i="4"/>
  <c r="D55" i="4"/>
  <c r="C55" i="4"/>
  <c r="B55" i="4"/>
  <c r="E54" i="4"/>
  <c r="D54" i="4"/>
  <c r="C54" i="4"/>
  <c r="B56" i="4" l="1" a="1"/>
  <c r="E57" i="4" l="1"/>
  <c r="D57" i="4"/>
  <c r="C57" i="4"/>
  <c r="B57" i="4"/>
  <c r="E56" i="4"/>
  <c r="D56" i="4"/>
  <c r="C56" i="4"/>
  <c r="E59" i="4"/>
  <c r="B56" i="4"/>
  <c r="D59" i="4"/>
  <c r="C59" i="4"/>
  <c r="B59" i="4"/>
  <c r="E58" i="4"/>
  <c r="D58" i="4"/>
  <c r="C58" i="4"/>
  <c r="B58" i="4"/>
  <c r="B60" i="4" l="1" a="1"/>
  <c r="D61" i="4" l="1"/>
  <c r="C61" i="4"/>
  <c r="B61" i="4"/>
  <c r="E60" i="4"/>
  <c r="D60" i="4"/>
  <c r="C60" i="4"/>
  <c r="E63" i="4"/>
  <c r="B60" i="4"/>
  <c r="D63" i="4"/>
  <c r="C63" i="4"/>
  <c r="B63" i="4"/>
  <c r="E62" i="4"/>
  <c r="D62" i="4"/>
  <c r="C62" i="4"/>
  <c r="B62" i="4"/>
  <c r="E61" i="4"/>
  <c r="B64" i="4" l="1" a="1"/>
  <c r="C65" i="4"/>
  <c r="B65" i="4"/>
  <c r="E64" i="4"/>
  <c r="D64" i="4"/>
  <c r="C64" i="4"/>
  <c r="E67" i="4"/>
  <c r="B64" i="4"/>
  <c r="D67" i="4"/>
  <c r="C67" i="4"/>
  <c r="B67" i="4"/>
  <c r="E66" i="4"/>
  <c r="D66" i="4"/>
  <c r="C66" i="4"/>
  <c r="B66" i="4"/>
  <c r="E65" i="4"/>
  <c r="D65" i="4"/>
  <c r="B68" i="4" l="1" a="1"/>
  <c r="B69" i="4" l="1"/>
  <c r="E68" i="4"/>
  <c r="D68" i="4"/>
  <c r="C68" i="4"/>
  <c r="E71" i="4"/>
  <c r="B68" i="4"/>
  <c r="D71" i="4"/>
  <c r="C71" i="4"/>
  <c r="B71" i="4"/>
  <c r="E70" i="4"/>
  <c r="D70" i="4"/>
  <c r="C70" i="4"/>
  <c r="B70" i="4"/>
  <c r="E69" i="4"/>
  <c r="D69" i="4"/>
  <c r="C69" i="4"/>
  <c r="B72" i="4" l="1" a="1"/>
  <c r="E72" i="4" l="1"/>
  <c r="D72" i="4"/>
  <c r="C72" i="4"/>
  <c r="E75" i="4"/>
  <c r="B72" i="4"/>
  <c r="D75" i="4"/>
  <c r="C75" i="4"/>
  <c r="B75" i="4"/>
  <c r="E74" i="4"/>
  <c r="D74" i="4"/>
  <c r="C74" i="4"/>
  <c r="B74" i="4"/>
  <c r="E73" i="4"/>
  <c r="D73" i="4"/>
  <c r="C73" i="4"/>
  <c r="B73" i="4"/>
  <c r="B76" i="4" l="1" a="1"/>
  <c r="D76" i="4" l="1"/>
  <c r="C76" i="4"/>
  <c r="E79" i="4"/>
  <c r="B76" i="4"/>
  <c r="D79" i="4"/>
  <c r="C79" i="4"/>
  <c r="B79" i="4"/>
  <c r="E78" i="4"/>
  <c r="D78" i="4"/>
  <c r="C78" i="4"/>
  <c r="B78" i="4"/>
  <c r="E77" i="4"/>
  <c r="D77" i="4"/>
  <c r="C77" i="4"/>
  <c r="B77" i="4"/>
  <c r="E76" i="4"/>
  <c r="B80" i="4" l="1" a="1"/>
  <c r="C80" i="4" l="1"/>
  <c r="C18" i="2" s="1"/>
  <c r="E83" i="4"/>
  <c r="E21" i="2" s="1"/>
  <c r="B80" i="4"/>
  <c r="D83" i="4"/>
  <c r="D21" i="2" s="1"/>
  <c r="C83" i="4"/>
  <c r="C21" i="2" s="1"/>
  <c r="B83" i="4"/>
  <c r="B21" i="2" s="1"/>
  <c r="E82" i="4"/>
  <c r="E20" i="2" s="1"/>
  <c r="D82" i="4"/>
  <c r="D20" i="2" s="1"/>
  <c r="C82" i="4"/>
  <c r="C20" i="2" s="1"/>
  <c r="B82" i="4"/>
  <c r="B20" i="2" s="1"/>
  <c r="E81" i="4"/>
  <c r="E19" i="2" s="1"/>
  <c r="D81" i="4"/>
  <c r="D19" i="2" s="1"/>
  <c r="C81" i="4"/>
  <c r="C19" i="2" s="1"/>
  <c r="B81" i="4"/>
  <c r="B19" i="2" s="1"/>
  <c r="E80" i="4"/>
  <c r="E18" i="2" s="1"/>
  <c r="D80" i="4"/>
  <c r="D18" i="2" s="1"/>
  <c r="B84" i="4" l="1" a="1"/>
  <c r="B18" i="2"/>
  <c r="E87" i="4" l="1"/>
  <c r="B84" i="4"/>
  <c r="D87" i="4"/>
  <c r="C87" i="4"/>
  <c r="B87" i="4"/>
  <c r="E86" i="4"/>
  <c r="D86" i="4"/>
  <c r="C86" i="4"/>
  <c r="B86" i="4"/>
  <c r="E85" i="4"/>
  <c r="D85" i="4"/>
  <c r="C85" i="4"/>
  <c r="B85" i="4"/>
  <c r="E84" i="4"/>
  <c r="D84" i="4"/>
  <c r="C84" i="4"/>
  <c r="B88" i="4" l="1" a="1"/>
  <c r="C88" i="4" s="1"/>
  <c r="D88" i="4" l="1"/>
  <c r="E88" i="4"/>
  <c r="B89" i="4"/>
  <c r="C89" i="4"/>
  <c r="D89" i="4"/>
  <c r="E89" i="4"/>
  <c r="B90" i="4"/>
  <c r="C90" i="4"/>
  <c r="D90" i="4"/>
  <c r="E90" i="4"/>
  <c r="B91" i="4"/>
  <c r="C91" i="4"/>
  <c r="D91" i="4"/>
  <c r="B88" i="4"/>
  <c r="E91" i="4"/>
  <c r="B92" i="4" a="1"/>
  <c r="D95" i="4" l="1"/>
  <c r="C95" i="4"/>
  <c r="B95" i="4"/>
  <c r="E94" i="4"/>
  <c r="D94" i="4"/>
  <c r="C94" i="4"/>
  <c r="B94" i="4"/>
  <c r="E93" i="4"/>
  <c r="D93" i="4"/>
  <c r="C93" i="4"/>
  <c r="B93" i="4"/>
  <c r="E92" i="4"/>
  <c r="D92" i="4"/>
  <c r="C92" i="4"/>
  <c r="E95" i="4"/>
  <c r="B92" i="4"/>
  <c r="B96" i="4" l="1" a="1"/>
  <c r="C99" i="4" s="1"/>
  <c r="D99" i="4" l="1"/>
  <c r="B96" i="4"/>
  <c r="E99" i="4"/>
  <c r="C96" i="4"/>
  <c r="D96" i="4"/>
  <c r="E96" i="4"/>
  <c r="B97" i="4"/>
  <c r="C97" i="4"/>
  <c r="D97" i="4"/>
  <c r="E97" i="4"/>
  <c r="B98" i="4"/>
  <c r="C98" i="4"/>
  <c r="D98" i="4"/>
  <c r="E98" i="4"/>
  <c r="B99" i="4"/>
  <c r="B100" i="4" a="1"/>
  <c r="B103" i="4" l="1"/>
  <c r="E102" i="4"/>
  <c r="D102" i="4"/>
  <c r="C102" i="4"/>
  <c r="B102" i="4"/>
  <c r="E101" i="4"/>
  <c r="D101" i="4"/>
  <c r="C101" i="4"/>
  <c r="B101" i="4"/>
  <c r="E100" i="4"/>
  <c r="D100" i="4"/>
  <c r="C100" i="4"/>
  <c r="E103" i="4"/>
  <c r="B100" i="4"/>
  <c r="D103" i="4"/>
  <c r="C103" i="4"/>
  <c r="B104" i="4" l="1" a="1"/>
  <c r="E106" i="4" s="1"/>
  <c r="D107" i="4" l="1"/>
  <c r="B104" i="4"/>
  <c r="C104" i="4"/>
  <c r="E104" i="4"/>
  <c r="C105" i="4"/>
  <c r="E105" i="4"/>
  <c r="B106" i="4"/>
  <c r="C106" i="4"/>
  <c r="B107" i="4"/>
  <c r="C107" i="4"/>
  <c r="E107" i="4"/>
  <c r="D104" i="4"/>
  <c r="B105" i="4"/>
  <c r="D105" i="4"/>
  <c r="D106" i="4"/>
  <c r="B108" i="4" a="1"/>
  <c r="D110" i="4" l="1"/>
  <c r="C110" i="4"/>
  <c r="B110" i="4"/>
  <c r="E109" i="4"/>
  <c r="D109" i="4"/>
  <c r="C109" i="4"/>
  <c r="B109" i="4"/>
  <c r="E108" i="4"/>
  <c r="D108" i="4"/>
  <c r="C108" i="4"/>
  <c r="E111" i="4"/>
  <c r="B108" i="4"/>
  <c r="D111" i="4"/>
  <c r="C111" i="4"/>
  <c r="B111" i="4"/>
  <c r="E110" i="4"/>
  <c r="B112" i="4" l="1" a="1"/>
  <c r="C114" i="4" s="1"/>
  <c r="E113" i="4"/>
  <c r="D113" i="4"/>
  <c r="C113" i="4"/>
  <c r="B113" i="4"/>
  <c r="E112" i="4"/>
  <c r="D112" i="4"/>
  <c r="C112" i="4"/>
  <c r="E115" i="4"/>
  <c r="B112" i="4"/>
  <c r="D115" i="4"/>
  <c r="C115" i="4"/>
  <c r="B115" i="4"/>
  <c r="E114" i="4"/>
  <c r="D114" i="4"/>
  <c r="B114" i="4" l="1"/>
  <c r="B116" i="4" a="1"/>
  <c r="B118" i="4" l="1"/>
  <c r="E117" i="4"/>
  <c r="D117" i="4"/>
  <c r="C117" i="4"/>
  <c r="B117" i="4"/>
  <c r="E116" i="4"/>
  <c r="D116" i="4"/>
  <c r="C116" i="4"/>
  <c r="E119" i="4"/>
  <c r="B116" i="4"/>
  <c r="D119" i="4"/>
  <c r="C119" i="4"/>
  <c r="B119" i="4"/>
  <c r="E118" i="4"/>
  <c r="D118" i="4"/>
  <c r="C118" i="4"/>
  <c r="B120" i="4" l="1" a="1"/>
  <c r="E121" i="4" l="1"/>
  <c r="D121" i="4"/>
  <c r="C121" i="4"/>
  <c r="B121" i="4"/>
  <c r="E120" i="4"/>
  <c r="D120" i="4"/>
  <c r="C120" i="4"/>
  <c r="E123" i="4"/>
  <c r="B120" i="4"/>
  <c r="D123" i="4"/>
  <c r="C123" i="4"/>
  <c r="B123" i="4"/>
  <c r="E122" i="4"/>
  <c r="D122" i="4"/>
  <c r="C122" i="4"/>
  <c r="B122" i="4"/>
  <c r="B124" i="4" l="1" a="1"/>
  <c r="D125" i="4" l="1"/>
  <c r="C125" i="4"/>
  <c r="B125" i="4"/>
  <c r="E124" i="4"/>
  <c r="D124" i="4"/>
  <c r="C124" i="4"/>
  <c r="E127" i="4"/>
  <c r="B124" i="4"/>
  <c r="D127" i="4"/>
  <c r="C127" i="4"/>
  <c r="B127" i="4"/>
  <c r="E126" i="4"/>
  <c r="D126" i="4"/>
  <c r="C126" i="4"/>
  <c r="B126" i="4"/>
  <c r="E125" i="4"/>
  <c r="B128" i="4" l="1" a="1"/>
  <c r="C129" i="4" s="1"/>
  <c r="D129" i="4" l="1"/>
  <c r="E129" i="4"/>
  <c r="B130" i="4"/>
  <c r="C130" i="4"/>
  <c r="D130" i="4"/>
  <c r="E130" i="4"/>
  <c r="B131" i="4"/>
  <c r="C131" i="4"/>
  <c r="D131" i="4"/>
  <c r="B128" i="4"/>
  <c r="E131" i="4"/>
  <c r="C128" i="4"/>
  <c r="D128" i="4"/>
  <c r="E128" i="4"/>
  <c r="B129" i="4"/>
  <c r="B132" i="4" a="1"/>
  <c r="B133" i="4" l="1"/>
  <c r="E132" i="4"/>
  <c r="D132" i="4"/>
  <c r="C132" i="4"/>
  <c r="E135" i="4"/>
  <c r="B132" i="4"/>
  <c r="D135" i="4"/>
  <c r="C135" i="4"/>
  <c r="B135" i="4"/>
  <c r="E134" i="4"/>
  <c r="D134" i="4"/>
  <c r="C134" i="4"/>
  <c r="B134" i="4"/>
  <c r="E133" i="4"/>
  <c r="D133" i="4"/>
  <c r="C133" i="4"/>
  <c r="B136" i="4" l="1" a="1"/>
  <c r="E136" i="4" l="1"/>
  <c r="D136" i="4"/>
  <c r="C136" i="4"/>
  <c r="E139" i="4"/>
  <c r="B136" i="4"/>
  <c r="D139" i="4"/>
  <c r="C139" i="4"/>
  <c r="B139" i="4"/>
  <c r="E138" i="4"/>
  <c r="D138" i="4"/>
  <c r="C138" i="4"/>
  <c r="B138" i="4"/>
  <c r="E137" i="4"/>
  <c r="D137" i="4"/>
  <c r="C137" i="4"/>
  <c r="B137" i="4"/>
  <c r="B140" i="4" l="1" a="1"/>
  <c r="D140" i="4" l="1"/>
  <c r="C140" i="4"/>
  <c r="E143" i="4"/>
  <c r="B140" i="4"/>
  <c r="D143" i="4"/>
  <c r="C143" i="4"/>
  <c r="B143" i="4"/>
  <c r="E142" i="4"/>
  <c r="D142" i="4"/>
  <c r="C142" i="4"/>
  <c r="B142" i="4"/>
  <c r="E141" i="4"/>
  <c r="D141" i="4"/>
  <c r="C141" i="4"/>
  <c r="B141" i="4"/>
  <c r="E140" i="4"/>
  <c r="B144" i="4" l="1" a="1"/>
  <c r="C144" i="4" l="1"/>
  <c r="E147" i="4"/>
  <c r="B144" i="4"/>
  <c r="D147" i="4"/>
  <c r="C147" i="4"/>
  <c r="B147" i="4"/>
  <c r="E146" i="4"/>
  <c r="D146" i="4"/>
  <c r="C146" i="4"/>
  <c r="B146" i="4"/>
  <c r="E145" i="4"/>
  <c r="D145" i="4"/>
  <c r="C145" i="4"/>
  <c r="B145" i="4"/>
  <c r="E144" i="4"/>
  <c r="D144" i="4"/>
  <c r="B148" i="4" l="1" a="1"/>
  <c r="E151" i="4" l="1"/>
  <c r="B148" i="4"/>
  <c r="D151" i="4"/>
  <c r="C151" i="4"/>
  <c r="B151" i="4"/>
  <c r="E150" i="4"/>
  <c r="D150" i="4"/>
  <c r="C150" i="4"/>
  <c r="B150" i="4"/>
  <c r="E149" i="4"/>
  <c r="D149" i="4"/>
  <c r="C149" i="4"/>
  <c r="B149" i="4"/>
  <c r="E148" i="4"/>
  <c r="D148" i="4"/>
  <c r="C148" i="4"/>
  <c r="B152" i="4" l="1" a="1"/>
  <c r="E155" i="4" l="1"/>
  <c r="B152" i="4"/>
  <c r="D155" i="4"/>
  <c r="C155" i="4"/>
  <c r="B155" i="4"/>
  <c r="E154" i="4"/>
  <c r="D154" i="4"/>
  <c r="C154" i="4"/>
  <c r="B154" i="4"/>
  <c r="E153" i="4"/>
  <c r="D153" i="4"/>
  <c r="C153" i="4"/>
  <c r="B153" i="4"/>
  <c r="E152" i="4"/>
  <c r="D152" i="4"/>
  <c r="C152" i="4"/>
  <c r="B156" i="4" l="1" a="1"/>
  <c r="D159" i="4" l="1"/>
  <c r="C159" i="4"/>
  <c r="B159" i="4"/>
  <c r="E158" i="4"/>
  <c r="D158" i="4"/>
  <c r="C158" i="4"/>
  <c r="B158" i="4"/>
  <c r="E157" i="4"/>
  <c r="D157" i="4"/>
  <c r="C157" i="4"/>
  <c r="B157" i="4"/>
  <c r="E156" i="4"/>
  <c r="D156" i="4"/>
  <c r="C156" i="4"/>
  <c r="E159" i="4"/>
  <c r="B156" i="4"/>
  <c r="B160" i="4" s="1" a="1"/>
  <c r="C163" i="4" l="1"/>
  <c r="B163" i="4"/>
  <c r="E162" i="4"/>
  <c r="D162" i="4"/>
  <c r="C162" i="4"/>
  <c r="B162" i="4"/>
  <c r="E161" i="4"/>
  <c r="D161" i="4"/>
  <c r="C161" i="4"/>
  <c r="B161" i="4"/>
  <c r="E160" i="4"/>
  <c r="D160" i="4"/>
  <c r="C160" i="4"/>
  <c r="E163" i="4"/>
  <c r="B160" i="4"/>
  <c r="D163" i="4"/>
  <c r="B164" i="4" l="1" a="1"/>
  <c r="B167" i="4" l="1"/>
  <c r="E166" i="4"/>
  <c r="D166" i="4"/>
  <c r="C166" i="4"/>
  <c r="B166" i="4"/>
  <c r="E165" i="4"/>
  <c r="D165" i="4"/>
  <c r="C165" i="4"/>
  <c r="B165" i="4"/>
  <c r="E164" i="4"/>
  <c r="D164" i="4"/>
  <c r="C164" i="4"/>
  <c r="E167" i="4"/>
  <c r="B164" i="4"/>
  <c r="D167" i="4"/>
  <c r="C167" i="4"/>
  <c r="B168" i="4" l="1" a="1"/>
  <c r="E170" i="4" l="1"/>
  <c r="D170" i="4"/>
  <c r="C170" i="4"/>
  <c r="B170" i="4"/>
  <c r="E169" i="4"/>
  <c r="D169" i="4"/>
  <c r="C169" i="4"/>
  <c r="B169" i="4"/>
  <c r="E168" i="4"/>
  <c r="D168" i="4"/>
  <c r="C168" i="4"/>
  <c r="E171" i="4"/>
  <c r="B168" i="4"/>
  <c r="D171" i="4"/>
  <c r="C171" i="4"/>
  <c r="B171" i="4"/>
  <c r="B172" i="4" l="1" a="1"/>
  <c r="D174" i="4" s="1"/>
  <c r="E174" i="4" l="1"/>
  <c r="B175" i="4"/>
  <c r="C175" i="4"/>
  <c r="D175" i="4"/>
  <c r="B172" i="4"/>
  <c r="E175" i="4"/>
  <c r="C172" i="4"/>
  <c r="D172" i="4"/>
  <c r="E172" i="4"/>
  <c r="B173" i="4"/>
  <c r="C173" i="4"/>
  <c r="D173" i="4"/>
  <c r="E173" i="4"/>
  <c r="B174" i="4"/>
  <c r="C174" i="4"/>
  <c r="B176" i="4" a="1"/>
  <c r="C178" i="4" l="1"/>
  <c r="B178" i="4"/>
  <c r="E177" i="4"/>
  <c r="D177" i="4"/>
  <c r="C177" i="4"/>
  <c r="B177" i="4"/>
  <c r="E176" i="4"/>
  <c r="D176" i="4"/>
  <c r="C176" i="4"/>
  <c r="E179" i="4"/>
  <c r="B176" i="4"/>
  <c r="D179" i="4"/>
  <c r="C179" i="4"/>
  <c r="B179" i="4"/>
  <c r="E178" i="4"/>
  <c r="D178" i="4"/>
  <c r="B180" i="4" l="1" a="1"/>
  <c r="B182" i="4" l="1"/>
  <c r="E181" i="4"/>
  <c r="D181" i="4"/>
  <c r="C181" i="4"/>
  <c r="B181" i="4"/>
  <c r="E180" i="4"/>
  <c r="D180" i="4"/>
  <c r="C180" i="4"/>
  <c r="E183" i="4"/>
  <c r="B180" i="4"/>
  <c r="D183" i="4"/>
  <c r="C183" i="4"/>
  <c r="B183" i="4"/>
  <c r="E182" i="4"/>
  <c r="D182" i="4"/>
  <c r="C182" i="4"/>
  <c r="B184" i="4" l="1" a="1"/>
  <c r="E185" i="4" l="1"/>
  <c r="D185" i="4"/>
  <c r="C185" i="4"/>
  <c r="B185" i="4"/>
  <c r="E184" i="4"/>
  <c r="D184" i="4"/>
  <c r="C184" i="4"/>
  <c r="E187" i="4"/>
  <c r="B184" i="4"/>
  <c r="D187" i="4"/>
  <c r="C187" i="4"/>
  <c r="B187" i="4"/>
  <c r="E186" i="4"/>
  <c r="D186" i="4"/>
  <c r="C186" i="4"/>
  <c r="B186" i="4"/>
  <c r="B188" i="4" l="1" a="1"/>
  <c r="D189" i="4" l="1"/>
  <c r="C189" i="4"/>
  <c r="B189" i="4"/>
  <c r="E188" i="4"/>
  <c r="D188" i="4"/>
  <c r="C188" i="4"/>
  <c r="E191" i="4"/>
  <c r="B188" i="4"/>
  <c r="D191" i="4"/>
  <c r="C191" i="4"/>
  <c r="B191" i="4"/>
  <c r="E190" i="4"/>
  <c r="D190" i="4"/>
  <c r="C190" i="4"/>
  <c r="B190" i="4"/>
  <c r="E189" i="4"/>
  <c r="B192" i="4" l="1" a="1"/>
  <c r="C193" i="4" l="1"/>
  <c r="B193" i="4"/>
  <c r="E192" i="4"/>
  <c r="D192" i="4"/>
  <c r="C192" i="4"/>
  <c r="E195" i="4"/>
  <c r="B192" i="4"/>
  <c r="D195" i="4"/>
  <c r="C195" i="4"/>
  <c r="B195" i="4"/>
  <c r="E194" i="4"/>
  <c r="D194" i="4"/>
  <c r="C194" i="4"/>
  <c r="B194" i="4"/>
  <c r="E193" i="4"/>
  <c r="D193" i="4"/>
  <c r="B196" i="4" l="1" a="1"/>
  <c r="B197" i="4" s="1"/>
  <c r="C197" i="4" l="1"/>
  <c r="D197" i="4"/>
  <c r="E197" i="4"/>
  <c r="B198" i="4"/>
  <c r="C198" i="4"/>
  <c r="D198" i="4"/>
  <c r="E198" i="4"/>
  <c r="B199" i="4"/>
  <c r="C199" i="4"/>
  <c r="D199" i="4"/>
  <c r="B196" i="4"/>
  <c r="E199" i="4"/>
  <c r="C196" i="4"/>
  <c r="D196" i="4"/>
  <c r="E196" i="4"/>
  <c r="B200" i="4" a="1"/>
  <c r="E200" i="4" l="1"/>
  <c r="D200" i="4"/>
  <c r="C200" i="4"/>
  <c r="E203" i="4"/>
  <c r="B200" i="4"/>
  <c r="D203" i="4"/>
  <c r="C203" i="4"/>
  <c r="B203" i="4"/>
  <c r="E202" i="4"/>
  <c r="D202" i="4"/>
  <c r="C202" i="4"/>
  <c r="B202" i="4"/>
  <c r="E201" i="4"/>
  <c r="D201" i="4"/>
  <c r="C201" i="4"/>
  <c r="B201" i="4"/>
  <c r="B204" i="4" l="1" a="1"/>
  <c r="D204" i="4" s="1"/>
  <c r="C205" i="4" l="1"/>
  <c r="E204" i="4"/>
  <c r="B205" i="4"/>
  <c r="D205" i="4"/>
  <c r="E205" i="4"/>
  <c r="B206" i="4"/>
  <c r="C206" i="4"/>
  <c r="D206" i="4"/>
  <c r="E206" i="4"/>
  <c r="B207" i="4"/>
  <c r="C207" i="4"/>
  <c r="D207" i="4"/>
  <c r="B204" i="4"/>
  <c r="E207" i="4"/>
  <c r="C204" i="4"/>
  <c r="B208" i="4" a="1"/>
  <c r="C208" i="4" l="1"/>
  <c r="E211" i="4"/>
  <c r="B208" i="4"/>
  <c r="D211" i="4"/>
  <c r="C211" i="4"/>
  <c r="B211" i="4"/>
  <c r="E210" i="4"/>
  <c r="D210" i="4"/>
  <c r="C210" i="4"/>
  <c r="B210" i="4"/>
  <c r="E209" i="4"/>
  <c r="D209" i="4"/>
  <c r="C209" i="4"/>
  <c r="B209" i="4"/>
  <c r="E208" i="4"/>
  <c r="D208" i="4"/>
  <c r="B212" i="4" l="1" a="1"/>
  <c r="E215" i="4" l="1"/>
  <c r="B212" i="4"/>
  <c r="D215" i="4"/>
  <c r="C215" i="4"/>
  <c r="B215" i="4"/>
  <c r="E214" i="4"/>
  <c r="D214" i="4"/>
  <c r="C214" i="4"/>
  <c r="B214" i="4"/>
  <c r="E213" i="4"/>
  <c r="D213" i="4"/>
  <c r="C213" i="4"/>
  <c r="B213" i="4"/>
  <c r="E212" i="4"/>
  <c r="D212" i="4"/>
  <c r="C212" i="4"/>
  <c r="B216" i="4" l="1" a="1"/>
  <c r="E219" i="4" l="1"/>
  <c r="B216" i="4"/>
  <c r="D219" i="4"/>
  <c r="C219" i="4"/>
  <c r="B219" i="4"/>
  <c r="E218" i="4"/>
  <c r="D218" i="4"/>
  <c r="C218" i="4"/>
  <c r="B218" i="4"/>
  <c r="E217" i="4"/>
  <c r="D217" i="4"/>
  <c r="C217" i="4"/>
  <c r="B217" i="4"/>
  <c r="E216" i="4"/>
  <c r="D216" i="4"/>
  <c r="C216" i="4"/>
  <c r="B220" i="4" l="1" a="1"/>
  <c r="C223" i="4" s="1"/>
  <c r="D223" i="4" l="1"/>
  <c r="B220" i="4"/>
  <c r="C220" i="4"/>
  <c r="E220" i="4"/>
  <c r="B221" i="4"/>
  <c r="E221" i="4"/>
  <c r="C222" i="4"/>
  <c r="D222" i="4"/>
  <c r="B223" i="4"/>
  <c r="E223" i="4"/>
  <c r="D220" i="4"/>
  <c r="C221" i="4"/>
  <c r="D221" i="4"/>
  <c r="B222" i="4"/>
  <c r="E222" i="4"/>
  <c r="B224" i="4" l="1" a="1"/>
  <c r="C227" i="4" s="1"/>
  <c r="D227" i="4" l="1"/>
  <c r="B224" i="4"/>
  <c r="B228" i="4" s="1" a="1"/>
  <c r="E227" i="4"/>
  <c r="C224" i="4"/>
  <c r="D224" i="4"/>
  <c r="E224" i="4"/>
  <c r="B225" i="4"/>
  <c r="C225" i="4"/>
  <c r="D225" i="4"/>
  <c r="E225" i="4"/>
  <c r="B226" i="4"/>
  <c r="C226" i="4"/>
  <c r="D226" i="4"/>
  <c r="E226" i="4"/>
  <c r="B227" i="4"/>
  <c r="B231" i="4" l="1"/>
  <c r="E230" i="4"/>
  <c r="D230" i="4"/>
  <c r="C230" i="4"/>
  <c r="B230" i="4"/>
  <c r="E229" i="4"/>
  <c r="D229" i="4"/>
  <c r="C229" i="4"/>
  <c r="B229" i="4"/>
  <c r="E228" i="4"/>
  <c r="D228" i="4"/>
  <c r="C228" i="4"/>
  <c r="E231" i="4"/>
  <c r="B228" i="4"/>
  <c r="D231" i="4"/>
  <c r="C231" i="4"/>
  <c r="B232" i="4" l="1" a="1"/>
  <c r="E234" i="4" l="1"/>
  <c r="D234" i="4"/>
  <c r="C234" i="4"/>
  <c r="B234" i="4"/>
  <c r="E233" i="4"/>
  <c r="D233" i="4"/>
  <c r="C233" i="4"/>
  <c r="B233" i="4"/>
  <c r="E232" i="4"/>
  <c r="D232" i="4"/>
  <c r="C232" i="4"/>
  <c r="E235" i="4"/>
  <c r="B232" i="4"/>
  <c r="D235" i="4"/>
  <c r="C235" i="4"/>
  <c r="B235" i="4"/>
  <c r="B236" i="4" l="1" a="1"/>
  <c r="D238" i="4" l="1"/>
  <c r="C238" i="4"/>
  <c r="B238" i="4"/>
  <c r="E237" i="4"/>
  <c r="D237" i="4"/>
  <c r="C237" i="4"/>
  <c r="B237" i="4"/>
  <c r="E236" i="4"/>
  <c r="D236" i="4"/>
  <c r="C236" i="4"/>
  <c r="E239" i="4"/>
  <c r="B236" i="4"/>
  <c r="D239" i="4"/>
  <c r="C239" i="4"/>
  <c r="B239" i="4"/>
  <c r="E238" i="4"/>
  <c r="B240" i="4" l="1" a="1"/>
  <c r="C242" i="4" l="1"/>
  <c r="B242" i="4"/>
  <c r="E241" i="4"/>
  <c r="D241" i="4"/>
  <c r="C241" i="4"/>
  <c r="B241" i="4"/>
  <c r="E240" i="4"/>
  <c r="D240" i="4"/>
  <c r="C240" i="4"/>
  <c r="E243" i="4"/>
  <c r="B240" i="4"/>
  <c r="D243" i="4"/>
  <c r="C243" i="4"/>
  <c r="B243" i="4"/>
  <c r="E242" i="4"/>
  <c r="D242" i="4"/>
  <c r="B244" i="4" l="1" a="1"/>
  <c r="B246" i="4" l="1"/>
  <c r="E245" i="4"/>
  <c r="D245" i="4"/>
  <c r="C245" i="4"/>
  <c r="B245" i="4"/>
  <c r="E244" i="4"/>
  <c r="D244" i="4"/>
  <c r="C244" i="4"/>
  <c r="E247" i="4"/>
  <c r="B244" i="4"/>
  <c r="D247" i="4"/>
  <c r="C247" i="4"/>
  <c r="B247" i="4"/>
  <c r="E246" i="4"/>
  <c r="D246" i="4"/>
  <c r="C246" i="4"/>
  <c r="B248" i="4" l="1" a="1"/>
  <c r="E249" i="4" l="1"/>
  <c r="D249" i="4"/>
  <c r="C249" i="4"/>
  <c r="B249" i="4"/>
  <c r="E248" i="4"/>
  <c r="D248" i="4"/>
  <c r="C248" i="4"/>
  <c r="E251" i="4"/>
  <c r="B248" i="4"/>
  <c r="D251" i="4"/>
  <c r="C251" i="4"/>
  <c r="B251" i="4"/>
  <c r="E250" i="4"/>
  <c r="D250" i="4"/>
  <c r="C250" i="4"/>
  <c r="B250" i="4"/>
  <c r="B252" i="4" l="1" a="1"/>
  <c r="D253" i="4" s="1"/>
  <c r="E253" i="4" l="1"/>
  <c r="B254" i="4"/>
  <c r="B252" i="4"/>
  <c r="C254" i="4"/>
  <c r="D254" i="4"/>
  <c r="E254" i="4"/>
  <c r="B255" i="4"/>
  <c r="C255" i="4"/>
  <c r="D255" i="4"/>
  <c r="E255" i="4"/>
  <c r="C252" i="4"/>
  <c r="D252" i="4"/>
  <c r="E252" i="4"/>
  <c r="B253" i="4"/>
  <c r="C253" i="4"/>
  <c r="B256" i="4" a="1"/>
  <c r="C257" i="4" l="1"/>
  <c r="B257" i="4"/>
  <c r="E256" i="4"/>
  <c r="D256" i="4"/>
  <c r="C256" i="4"/>
  <c r="E259" i="4"/>
  <c r="B256" i="4"/>
  <c r="D259" i="4"/>
  <c r="C259" i="4"/>
  <c r="B259" i="4"/>
  <c r="E258" i="4"/>
  <c r="D258" i="4"/>
  <c r="C258" i="4"/>
  <c r="B258" i="4"/>
  <c r="E257" i="4"/>
  <c r="D257" i="4"/>
  <c r="B260" i="4" l="1" a="1"/>
  <c r="B261" i="4" s="1"/>
  <c r="C261" i="4" l="1"/>
  <c r="D261" i="4"/>
  <c r="E261" i="4"/>
  <c r="B262" i="4"/>
  <c r="C262" i="4"/>
  <c r="D262" i="4"/>
  <c r="E262" i="4"/>
  <c r="B263" i="4"/>
  <c r="C263" i="4"/>
  <c r="D263" i="4"/>
  <c r="B260" i="4"/>
  <c r="E263" i="4"/>
  <c r="C260" i="4"/>
  <c r="D260" i="4"/>
  <c r="E260" i="4"/>
  <c r="B264" i="4" l="1" a="1"/>
  <c r="E264" i="4" s="1"/>
  <c r="B265" i="4" l="1"/>
  <c r="C265" i="4"/>
  <c r="D265" i="4"/>
  <c r="E265" i="4"/>
  <c r="B266" i="4"/>
  <c r="C266" i="4"/>
  <c r="D266" i="4"/>
  <c r="E266" i="4"/>
  <c r="B267" i="4"/>
  <c r="C267" i="4"/>
  <c r="D267" i="4"/>
  <c r="B264" i="4"/>
  <c r="E267" i="4"/>
  <c r="C264" i="4"/>
  <c r="D264" i="4"/>
  <c r="B268" i="4" a="1"/>
  <c r="D268" i="4" l="1"/>
  <c r="C268" i="4"/>
  <c r="E271" i="4"/>
  <c r="B268" i="4"/>
  <c r="D271" i="4"/>
  <c r="C271" i="4"/>
  <c r="B271" i="4"/>
  <c r="E270" i="4"/>
  <c r="D270" i="4"/>
  <c r="C270" i="4"/>
  <c r="B270" i="4"/>
  <c r="E269" i="4"/>
  <c r="D269" i="4"/>
  <c r="C269" i="4"/>
  <c r="B269" i="4"/>
  <c r="E268" i="4"/>
  <c r="B272" i="4" l="1" a="1"/>
  <c r="C272" i="4" l="1"/>
  <c r="E275" i="4"/>
  <c r="B272" i="4"/>
  <c r="D275" i="4"/>
  <c r="C275" i="4"/>
  <c r="B275" i="4"/>
  <c r="E274" i="4"/>
  <c r="D274" i="4"/>
  <c r="C274" i="4"/>
  <c r="B274" i="4"/>
  <c r="E273" i="4"/>
  <c r="D273" i="4"/>
  <c r="C273" i="4"/>
  <c r="B273" i="4"/>
  <c r="E272" i="4"/>
  <c r="D272" i="4"/>
  <c r="B276" i="4" l="1" a="1"/>
  <c r="E279" i="4" l="1"/>
  <c r="B276" i="4"/>
  <c r="D279" i="4"/>
  <c r="C279" i="4"/>
  <c r="B279" i="4"/>
  <c r="E278" i="4"/>
  <c r="D278" i="4"/>
  <c r="C278" i="4"/>
  <c r="B278" i="4"/>
  <c r="E277" i="4"/>
  <c r="D277" i="4"/>
  <c r="C277" i="4"/>
  <c r="B277" i="4"/>
  <c r="E276" i="4"/>
  <c r="D276" i="4"/>
  <c r="C276" i="4"/>
  <c r="B280" i="4" l="1" a="1"/>
  <c r="E283" i="4" s="1"/>
  <c r="C280" i="4" l="1"/>
  <c r="D280" i="4"/>
  <c r="E280" i="4"/>
  <c r="B281" i="4"/>
  <c r="C281" i="4"/>
  <c r="D281" i="4"/>
  <c r="E281" i="4"/>
  <c r="B282" i="4"/>
  <c r="C282" i="4"/>
  <c r="D282" i="4"/>
  <c r="E282" i="4"/>
  <c r="B283" i="4"/>
  <c r="C283" i="4"/>
  <c r="D283" i="4"/>
  <c r="B280" i="4"/>
</calcChain>
</file>

<file path=xl/sharedStrings.xml><?xml version="1.0" encoding="utf-8"?>
<sst xmlns="http://schemas.openxmlformats.org/spreadsheetml/2006/main" count="125" uniqueCount="86">
  <si>
    <t>Credit Migration Scenario Calculator</t>
  </si>
  <si>
    <t>What this is</t>
  </si>
  <si>
    <t>Pure-formula Excel port of the cascade-logit Markov engine from src/markov_dgp.py and src/markov_engine.py -- no macros, no add-ins, opens anywhere. Generated by src/excel_export.py from model_weights.json -- do not edit the Calc or Model_Weights tabs by hand, they will be overwritten on the next regeneration.</t>
  </si>
  <si>
    <t>How to use it</t>
  </si>
  <si>
    <t>1. Go to the 'Scenario' tab.</t>
  </si>
  <si>
    <t>2. Edit the two yellow input cells: Delta Earnings Growth and Delta 10Y Yield, both in PERCENTAGE POINTS (type 0.5 for +0.5%, i.e. +50bp -- not 0.005). This matches exactly how the Python model was fit.</t>
  </si>
  <si>
    <t>3. Edit Cumulative Horizon (quarters, 1-60) to choose how many quarters to compound the scenario over. If this is ever invalid (0, negative, non-integer), the Cumulative grid shows 'Invalid horizon' instead of an error.</t>
  </si>
  <si>
    <t>4. The 'Scenario check' cell tells you if your inputs are within the range the model was actually fit on. If they're beyond the per-feature cap (see the Model_Weights tab), it also shows an INPUT CAPPED note -- inputs that extreme are clamped before the matrix math runs, so the sigmoid can't saturate into a literal, historically-unprecedented 0%/100% (e.g. "100% of IG demotes in one quarter"). The displayed matrix reflects the CAPPED value whenever that note appears, not your literal typed input.</t>
  </si>
  <si>
    <t>5. The two 4x4 grids below show the next-quarter and N-quarter-cumulative transition matrices as real percentages, colour-scaled green (low probability) to red (high probability).</t>
  </si>
  <si>
    <t>6. If a grid ever looks stuck (doesn't change when you edit the inputs), press Ctrl+Alt+F9 to force a full recalculation.</t>
  </si>
  <si>
    <t>IMPORTANT: where the output becomes static (flat)</t>
  </si>
  <si>
    <t>Delta Earnings Growth is clamped to [-2.343, 1.943]. Any input at or beyond that boundary computes the SAME result as the boundary value itself -- this is not a bug.</t>
  </si>
  <si>
    <t>Delta 10Y Yield is clamped to [-2.000, 10.000] -- an EXPLICIT range, not a multiplier of the training range. Yield's fitted sensitivity is smaller than earnings', so a small multiplier leaves it needlessly restricted while a large one overshoots into saturation -- this range was chosen from where the model is actually still informative, not derived mechanically.</t>
  </si>
  <si>
    <t>The interaction term (Delta Earnings x Delta Yield) is capped to [-3.598, 0.674] AFTER being recomputed from the already-capped values above -- capping the two factors alone doesn't sufficiently bound their product. This means a COMBINED scenario's plateau can begin before either input alone reaches its own boundary.</t>
  </si>
  <si>
    <t>Past these boundaries the tool can no longer distinguish "moderately extreme" from "wildly extreme" -- that's the deliberate tradeoff of preventing saturation-driven nonsense, not a defect.</t>
  </si>
  <si>
    <t>Other tabs</t>
  </si>
  <si>
    <t>Model_Weights -- the fitted beta_hat coefficients, observed training-data bounds, and the explicit per-feature capped-input boundaries, generated from model_weights.json. Reference only, not meant to be edited.</t>
  </si>
  <si>
    <t>Calc (hidden) -- intermediate cascade-logit calculations and the pre-computed cumulative matrix chain. Unhide it (right-click any tab) if you want to see the full working.</t>
  </si>
  <si>
    <t>Source of truth</t>
  </si>
  <si>
    <t>All beta_hat values here come directly from model_weights.json, generated by python run_pipeline.py. Re-run that (which now also regenerates this file) to refresh the numbers.</t>
  </si>
  <si>
    <t>Inputs (percentage points, e.g. 0.5 = +0.5%)</t>
  </si>
  <si>
    <t>Delta Earnings Growth</t>
  </si>
  <si>
    <t>Delta 10Y Yield</t>
  </si>
  <si>
    <t>Cumulative Horizon (quarters, 1-60)</t>
  </si>
  <si>
    <t>Scenario check</t>
  </si>
  <si>
    <t>Next-Quarter Transition Matrix</t>
  </si>
  <si>
    <t>-&gt; IG</t>
  </si>
  <si>
    <t>-&gt; NonIG</t>
  </si>
  <si>
    <t>-&gt; Junk</t>
  </si>
  <si>
    <t>-&gt; Default</t>
  </si>
  <si>
    <t>IG -&gt;</t>
  </si>
  <si>
    <t>NonIG -&gt;</t>
  </si>
  <si>
    <t>Junk -&gt;</t>
  </si>
  <si>
    <t>Default -&gt;</t>
  </si>
  <si>
    <t>N-Quarter Cumulative Transition Matrix (sustained scenario)</t>
  </si>
  <si>
    <t>Note: output becomes static (flat) beyond these input bounds:</t>
  </si>
  <si>
    <t>See the Model_Weights tab (EXTRAPOLATION CAP BOUNDS) for the exact current values and why.</t>
  </si>
  <si>
    <t>Model weights (from model_weights.json)</t>
  </si>
  <si>
    <t>beta_hat -- fitted macro-sensitivity coefficients per tranche/cascade stage</t>
  </si>
  <si>
    <t>Tranche</t>
  </si>
  <si>
    <t>Stage</t>
  </si>
  <si>
    <t>Intercept (X0)</t>
  </si>
  <si>
    <t>Delta Earnings (X1)</t>
  </si>
  <si>
    <t>Delta Yield (X2)</t>
  </si>
  <si>
    <t>Interaction (X3)</t>
  </si>
  <si>
    <t>IG</t>
  </si>
  <si>
    <t>A</t>
  </si>
  <si>
    <t>B</t>
  </si>
  <si>
    <t>C</t>
  </si>
  <si>
    <t>NonIG</t>
  </si>
  <si>
    <t>Junk</t>
  </si>
  <si>
    <t>Upgrade probabilities (fixed, non-macro-sensitive -- see README.md point 3)</t>
  </si>
  <si>
    <t>Upgrade Prob</t>
  </si>
  <si>
    <t>Observed X_train bounds (extrapolation-warning reference)</t>
  </si>
  <si>
    <t>Feature</t>
  </si>
  <si>
    <t>Min</t>
  </si>
  <si>
    <t>Max</t>
  </si>
  <si>
    <t>EXTRAPOLATION CAP BOUNDS (per feature -- output becomes static at/beyond these values)</t>
  </si>
  <si>
    <t>Cap Min</t>
  </si>
  <si>
    <t>Cap Max</t>
  </si>
  <si>
    <t>Note: per-feature, not one shared multiplier -- earnings and yield saturate at very different multiples of their own training range. The interaction (X3) bound applies to the recomputed X1(capped)*X2(capped) value, so a COMBINED scenario's plateau can begin before either X1 or X2 alone reaches its own bound above.</t>
  </si>
  <si>
    <t>X vector: row 2 = CAPPED (drives all math below), row 3 = RAW (for the range-check warning only)</t>
  </si>
  <si>
    <t>X0</t>
  </si>
  <si>
    <t>X1 (Earn)</t>
  </si>
  <si>
    <t>X2 (Yield)</t>
  </si>
  <si>
    <t>X3 (Inter.)</t>
  </si>
  <si>
    <t>X vector (RAW, uncapped)</t>
  </si>
  <si>
    <t>Capped? (text, blank if not)</t>
  </si>
  <si>
    <t>logit_A</t>
  </si>
  <si>
    <t>p(fall&gt;=1)</t>
  </si>
  <si>
    <t>p(stay)</t>
  </si>
  <si>
    <t>logit_B</t>
  </si>
  <si>
    <t>p(fall&gt;=2 | fall&gt;=1)</t>
  </si>
  <si>
    <t>p(fall=1)</t>
  </si>
  <si>
    <t>p(fall&gt;=2)</t>
  </si>
  <si>
    <t>logit_C</t>
  </si>
  <si>
    <t>p(fall=3 | fall&gt;=2)</t>
  </si>
  <si>
    <t>p(fall=2)</t>
  </si>
  <si>
    <t>p(fall=3)</t>
  </si>
  <si>
    <t>IG row [-&gt;IG, -&gt;NonIG, -&gt;Junk, -&gt;Default]</t>
  </si>
  <si>
    <t>p(fall=2 | fall&gt;=1)</t>
  </si>
  <si>
    <t>u (upgrade prob)</t>
  </si>
  <si>
    <t>NonIG row [-&gt;IG, -&gt;NonIG, -&gt;Junk, -&gt;Default]</t>
  </si>
  <si>
    <t>Junk row [-&gt;IG, -&gt;NonIG, -&gt;Junk, -&gt;Default]</t>
  </si>
  <si>
    <t>M (Next-Quarter Transition Matrix) [IG, NonIG, Junk, Default]</t>
  </si>
  <si>
    <t>Cumulative transition matrix chain, quarters 1-60 (each block = MMULT(previous block, M)). Block 1 = M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</si>
</sst>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1A9850"/>
        </patternFill>
      </fill>
    </dxf>
    <dxf>
      <fill>
        <patternFill patternType="solid">
          <fgColor rgb="FFFFFFBF"/>
        </patternFill>
      </fill>
    </dxf>
    <dxf>
      <fill>
        <patternFill patternType="solid">
          <fgColor rgb="FFD73027"/>
        </patternFill>
      </fill>
    </dxf>
    <dxf>
      <fill>
        <patternFill patternType="solid">
          <fgColor rgb="FF1A9850"/>
        </patternFill>
      </fill>
    </dxf>
    <dxf>
      <fill>
        <patternFill patternType="solid">
          <fgColor rgb="FFFFFFBF"/>
        </patternFill>
      </fill>
    </dxf>
    <dxf>
      <fill>
        <patternFill patternType="solid">
          <fgColor rgb="FFD7302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defaultRowHeight="15"/>
  <cols>
    <col min="1" max="1" width="110" customWidth="1"/>
  </cols>
  <sheetData>
    <row r="1" spans="1:1" ht="21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>
      <c r="A14" s="3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/>
    </row>
    <row r="20" spans="1:1">
      <c r="A20" s="3" t="s">
        <v>15</v>
      </c>
    </row>
    <row r="21" spans="1:1">
      <c r="A21" s="2" t="s">
        <v>16</v>
      </c>
    </row>
    <row r="22" spans="1:1">
      <c r="A22" s="2" t="s">
        <v>17</v>
      </c>
    </row>
    <row r="23" spans="1:1">
      <c r="A23" s="2"/>
    </row>
    <row r="24" spans="1:1">
      <c r="A24" s="3" t="s">
        <v>18</v>
      </c>
    </row>
    <row r="25" spans="1:1">
      <c r="A25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>
      <selection activeCell="C6" sqref="C6"/>
    </sheetView>
  </sheetViews>
  <sheetFormatPr defaultRowHeight="15"/>
  <cols>
    <col min="1" max="1" width="24" customWidth="1"/>
    <col min="2" max="2" width="12" customWidth="1"/>
  </cols>
  <sheetData>
    <row r="1" spans="1:5" ht="21">
      <c r="A1" s="1" t="s">
        <v>0</v>
      </c>
    </row>
    <row r="3" spans="1:5">
      <c r="A3" s="3" t="s">
        <v>20</v>
      </c>
    </row>
    <row r="4" spans="1:5">
      <c r="A4" t="s">
        <v>21</v>
      </c>
      <c r="C4" s="3">
        <v>1</v>
      </c>
    </row>
    <row r="5" spans="1:5">
      <c r="A5" t="s">
        <v>22</v>
      </c>
      <c r="C5" s="3">
        <v>10</v>
      </c>
    </row>
    <row r="6" spans="1:5">
      <c r="A6" t="s">
        <v>23</v>
      </c>
      <c r="C6" s="3">
        <v>10</v>
      </c>
    </row>
    <row r="7" spans="1:5">
      <c r="A7" t="s">
        <v>24</v>
      </c>
      <c r="C7" s="4" t="str">
        <f>IF(OR(Calc!C3&lt;Model_Weights!B20, Calc!C3&gt;Model_Weights!C20, Calc!D3&lt;Model_Weights!B21, Calc!D3&gt;Model_Weights!C21, Calc!E3&lt;Model_Weights!B22, Calc!E3&gt;Model_Weights!C22), "EXTRAPOLATION WARNING: input(s) outside observed training range" &amp; IF(OR(Calc!C4&lt;&gt;"",Calc!D4&lt;&gt;"",Calc!E4&lt;&gt;""), " | INPUT CAPPED (result reflects capped value): " &amp; TRIM(Calc!C4&amp;" "&amp;Calc!D4&amp;" "&amp;Calc!E4), ""), "OK - within training range")</f>
        <v>EXTRAPOLATION WARNING: input(s) outside observed training range | INPUT CAPPED (result reflects capped value): Interaction: 10.000 -&gt; 0.674</v>
      </c>
    </row>
    <row r="9" spans="1:5">
      <c r="A9" s="3" t="s">
        <v>25</v>
      </c>
    </row>
    <row r="10" spans="1:5">
      <c r="B10" s="3" t="s">
        <v>26</v>
      </c>
      <c r="C10" s="3" t="s">
        <v>27</v>
      </c>
      <c r="D10" s="3" t="s">
        <v>28</v>
      </c>
      <c r="E10" s="3" t="s">
        <v>29</v>
      </c>
    </row>
    <row r="11" spans="1:5">
      <c r="A11" s="3" t="s">
        <v>30</v>
      </c>
      <c r="B11" t="str">
        <f>TEXT(INDEX(Calc!$B$39:$E$42, 1, 1),"0.00%")</f>
        <v>47.40%</v>
      </c>
      <c r="C11" t="str">
        <f>TEXT(INDEX(Calc!$B$39:$E$42, 1, 2),"0.00%")</f>
        <v>0.13%</v>
      </c>
      <c r="D11" t="str">
        <f>TEXT(INDEX(Calc!$B$39:$E$42, 1, 3),"0.00%")</f>
        <v>52.47%</v>
      </c>
      <c r="E11" t="str">
        <f>TEXT(INDEX(Calc!$B$39:$E$42, 1, 4),"0.00%")</f>
        <v>0.00%</v>
      </c>
    </row>
    <row r="12" spans="1:5">
      <c r="A12" s="3" t="s">
        <v>31</v>
      </c>
      <c r="B12" t="str">
        <f>TEXT(INDEX(Calc!$B$39:$E$42, 2, 1),"0.00%")</f>
        <v>4.00%</v>
      </c>
      <c r="C12" t="str">
        <f>TEXT(INDEX(Calc!$B$39:$E$42, 2, 2),"0.00%")</f>
        <v>2.95%</v>
      </c>
      <c r="D12" t="str">
        <f>TEXT(INDEX(Calc!$B$39:$E$42, 2, 3),"0.00%")</f>
        <v>8.18%</v>
      </c>
      <c r="E12" t="str">
        <f>TEXT(INDEX(Calc!$B$39:$E$42, 2, 4),"0.00%")</f>
        <v>84.88%</v>
      </c>
    </row>
    <row r="13" spans="1:5">
      <c r="A13" s="3" t="s">
        <v>32</v>
      </c>
      <c r="B13" t="str">
        <f>TEXT(INDEX(Calc!$B$39:$E$42, 3, 1),"0.00%")</f>
        <v>0.00%</v>
      </c>
      <c r="C13" t="str">
        <f>TEXT(INDEX(Calc!$B$39:$E$42, 3, 2),"0.00%")</f>
        <v>5.00%</v>
      </c>
      <c r="D13" t="str">
        <f>TEXT(INDEX(Calc!$B$39:$E$42, 3, 3),"0.00%")</f>
        <v>0.00%</v>
      </c>
      <c r="E13" t="str">
        <f>TEXT(INDEX(Calc!$B$39:$E$42, 3, 4),"0.00%")</f>
        <v>95.00%</v>
      </c>
    </row>
    <row r="14" spans="1:5">
      <c r="A14" s="3" t="s">
        <v>33</v>
      </c>
      <c r="B14" t="str">
        <f>TEXT(INDEX(Calc!$B$39:$E$42, 4, 1),"0.00%")</f>
        <v>0.00%</v>
      </c>
      <c r="C14" t="str">
        <f>TEXT(INDEX(Calc!$B$39:$E$42, 4, 2),"0.00%")</f>
        <v>0.00%</v>
      </c>
      <c r="D14" t="str">
        <f>TEXT(INDEX(Calc!$B$39:$E$42, 4, 3),"0.00%")</f>
        <v>0.00%</v>
      </c>
      <c r="E14" t="str">
        <f>TEXT(INDEX(Calc!$B$39:$E$42, 4, 4),"0.00%")</f>
        <v>100.00%</v>
      </c>
    </row>
    <row r="16" spans="1:5">
      <c r="A16" s="3" t="s">
        <v>34</v>
      </c>
    </row>
    <row r="17" spans="1:5">
      <c r="B17" s="3" t="s">
        <v>26</v>
      </c>
      <c r="C17" s="3" t="s">
        <v>27</v>
      </c>
      <c r="D17" s="3" t="s">
        <v>28</v>
      </c>
      <c r="E17" s="3" t="s">
        <v>29</v>
      </c>
    </row>
    <row r="18" spans="1:5">
      <c r="A18" s="3" t="s">
        <v>30</v>
      </c>
      <c r="B18" t="str">
        <f>IF(OR($C$6&lt;1,$C$6&lt;&gt;ROUND($C$6,0),$C$6&gt;60),"Invalid horizon",TEXT(INDEX(Calc!$B$44:$E$283, ($C$6-1)*4+1, 1),"0.00%"))</f>
        <v>0.06%</v>
      </c>
      <c r="C18" t="str">
        <f>IF(OR($C$6&lt;1,$C$6&lt;&gt;ROUND($C$6,0),$C$6&gt;60),"Invalid horizon",TEXT(INDEX(Calc!$B$44:$E$283, ($C$6-1)*4+1, 2),"0.00%"))</f>
        <v>0.01%</v>
      </c>
      <c r="D18" t="str">
        <f>IF(OR($C$6&lt;1,$C$6&lt;&gt;ROUND($C$6,0),$C$6&gt;60),"Invalid horizon",TEXT(INDEX(Calc!$B$44:$E$283, ($C$6-1)*4+1, 3),"0.00%"))</f>
        <v>0.07%</v>
      </c>
      <c r="E18" t="str">
        <f>IF(OR($C$6&lt;1,$C$6&lt;&gt;ROUND($C$6,0),$C$6&gt;60),"Invalid horizon",TEXT(INDEX(Calc!$B$44:$E$283, ($C$6-1)*4+1, 4),"0.00%"))</f>
        <v>99.86%</v>
      </c>
    </row>
    <row r="19" spans="1:5">
      <c r="A19" s="3" t="s">
        <v>31</v>
      </c>
      <c r="B19" t="str">
        <f>IF(OR($C$6&lt;1,$C$6&lt;&gt;ROUND($C$6,0),$C$6&gt;60),"Invalid horizon",TEXT(INDEX(Calc!$B$44:$E$283, ($C$6-1)*4+2, 1),"0.00%"))</f>
        <v>0.01%</v>
      </c>
      <c r="C19" t="str">
        <f>IF(OR($C$6&lt;1,$C$6&lt;&gt;ROUND($C$6,0),$C$6&gt;60),"Invalid horizon",TEXT(INDEX(Calc!$B$44:$E$283, ($C$6-1)*4+2, 2),"0.00%"))</f>
        <v>0.00%</v>
      </c>
      <c r="D19" t="str">
        <f>IF(OR($C$6&lt;1,$C$6&lt;&gt;ROUND($C$6,0),$C$6&gt;60),"Invalid horizon",TEXT(INDEX(Calc!$B$44:$E$283, ($C$6-1)*4+2, 3),"0.00%"))</f>
        <v>0.01%</v>
      </c>
      <c r="E19" t="str">
        <f>IF(OR($C$6&lt;1,$C$6&lt;&gt;ROUND($C$6,0),$C$6&gt;60),"Invalid horizon",TEXT(INDEX(Calc!$B$44:$E$283, ($C$6-1)*4+2, 4),"0.00%"))</f>
        <v>99.99%</v>
      </c>
    </row>
    <row r="20" spans="1:5">
      <c r="A20" s="3" t="s">
        <v>32</v>
      </c>
      <c r="B20" t="str">
        <f>IF(OR($C$6&lt;1,$C$6&lt;&gt;ROUND($C$6,0),$C$6&gt;60),"Invalid horizon",TEXT(INDEX(Calc!$B$44:$E$283, ($C$6-1)*4+3, 1),"0.00%"))</f>
        <v>0.00%</v>
      </c>
      <c r="C20" t="str">
        <f>IF(OR($C$6&lt;1,$C$6&lt;&gt;ROUND($C$6,0),$C$6&gt;60),"Invalid horizon",TEXT(INDEX(Calc!$B$44:$E$283, ($C$6-1)*4+3, 2),"0.00%"))</f>
        <v>0.00%</v>
      </c>
      <c r="D20" t="str">
        <f>IF(OR($C$6&lt;1,$C$6&lt;&gt;ROUND($C$6,0),$C$6&gt;60),"Invalid horizon",TEXT(INDEX(Calc!$B$44:$E$283, ($C$6-1)*4+3, 3),"0.00%"))</f>
        <v>0.00%</v>
      </c>
      <c r="E20" t="str">
        <f>IF(OR($C$6&lt;1,$C$6&lt;&gt;ROUND($C$6,0),$C$6&gt;60),"Invalid horizon",TEXT(INDEX(Calc!$B$44:$E$283, ($C$6-1)*4+3, 4),"0.00%"))</f>
        <v>100.00%</v>
      </c>
    </row>
    <row r="21" spans="1:5">
      <c r="A21" s="3" t="s">
        <v>33</v>
      </c>
      <c r="B21" t="str">
        <f>IF(OR($C$6&lt;1,$C$6&lt;&gt;ROUND($C$6,0),$C$6&gt;60),"Invalid horizon",TEXT(INDEX(Calc!$B$44:$E$283, ($C$6-1)*4+4, 1),"0.00%"))</f>
        <v>0.00%</v>
      </c>
      <c r="C21" t="str">
        <f>IF(OR($C$6&lt;1,$C$6&lt;&gt;ROUND($C$6,0),$C$6&gt;60),"Invalid horizon",TEXT(INDEX(Calc!$B$44:$E$283, ($C$6-1)*4+4, 2),"0.00%"))</f>
        <v>0.00%</v>
      </c>
      <c r="D21" t="str">
        <f>IF(OR($C$6&lt;1,$C$6&lt;&gt;ROUND($C$6,0),$C$6&gt;60),"Invalid horizon",TEXT(INDEX(Calc!$B$44:$E$283, ($C$6-1)*4+4, 3),"0.00%"))</f>
        <v>0.00%</v>
      </c>
      <c r="E21" t="str">
        <f>IF(OR($C$6&lt;1,$C$6&lt;&gt;ROUND($C$6,0),$C$6&gt;60),"Invalid horizon",TEXT(INDEX(Calc!$B$44:$E$283, ($C$6-1)*4+4, 4),"0.00%"))</f>
        <v>100.00%</v>
      </c>
    </row>
    <row r="23" spans="1:5">
      <c r="A23" t="s">
        <v>35</v>
      </c>
    </row>
    <row r="24" spans="1:5">
      <c r="A24" t="s">
        <v>36</v>
      </c>
    </row>
  </sheetData>
  <dataValidations count="1">
    <dataValidation type="whole" showErrorMessage="1" errorTitle="Invalid horizon" error="Enter a whole number of quarters from 1 to 60." sqref="C6" xr:uid="{00000000-0002-0000-0100-000000000000}">
      <formula1>1</formula1>
      <formula2>60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100-000001000000}">
            <xm:f>INDEX(Calc!$B$39:$E$42, ROW()-11+1, COLUMN()-1)&gt;=0.66</xm:f>
            <x14:dxf>
              <fill>
                <patternFill patternType="solid">
                  <fgColor rgb="FFD73027"/>
                </patternFill>
              </fill>
            </x14:dxf>
          </x14:cfRule>
          <x14:cfRule type="expression" priority="2" id="{00000000-000E-0000-0100-000002000000}">
            <xm:f>AND(INDEX(Calc!$B$39:$E$42, ROW()-11+1, COLUMN()-1)&gt;=0.33,INDEX(Calc!$B$39:$E$42, ROW()-11+1, COLUMN()-1)&lt;0.66)</xm:f>
            <x14:dxf>
              <fill>
                <patternFill patternType="solid">
                  <fgColor rgb="FFFFFFBF"/>
                </patternFill>
              </fill>
            </x14:dxf>
          </x14:cfRule>
          <x14:cfRule type="expression" priority="3" id="{00000000-000E-0000-0100-000003000000}">
            <xm:f>INDEX(Calc!$B$39:$E$42, ROW()-11+1, COLUMN()-1)&lt;0.33</xm:f>
            <x14:dxf>
              <fill>
                <patternFill patternType="solid">
                  <fgColor rgb="FF1A9850"/>
                </patternFill>
              </fill>
            </x14:dxf>
          </x14:cfRule>
          <xm:sqref>B11:E14</xm:sqref>
        </x14:conditionalFormatting>
        <x14:conditionalFormatting xmlns:xm="http://schemas.microsoft.com/office/excel/2006/main">
          <x14:cfRule type="expression" priority="4" id="{00000000-000E-0000-0100-000004000000}">
            <xm:f>INDEX(Calc!$B$44:$E$283, ($C$6-1)*4+ROW()-18+1, COLUMN()-1)&gt;=0.66</xm:f>
            <x14:dxf>
              <fill>
                <patternFill patternType="solid">
                  <fgColor rgb="FFD73027"/>
                </patternFill>
              </fill>
            </x14:dxf>
          </x14:cfRule>
          <x14:cfRule type="expression" priority="5" id="{00000000-000E-0000-0100-000005000000}">
            <xm:f>AND(INDEX(Calc!$B$44:$E$283, ($C$6-1)*4+ROW()-18+1, COLUMN()-1)&gt;=0.33,INDEX(Calc!$B$44:$E$283, ($C$6-1)*4+ROW()-18+1, COLUMN()-1)&lt;0.66)</xm:f>
            <x14:dxf>
              <fill>
                <patternFill patternType="solid">
                  <fgColor rgb="FFFFFFBF"/>
                </patternFill>
              </fill>
            </x14:dxf>
          </x14:cfRule>
          <x14:cfRule type="expression" priority="6" id="{00000000-000E-0000-0100-000006000000}">
            <xm:f>INDEX(Calc!$B$44:$E$283, ($C$6-1)*4+ROW()-18+1, COLUMN()-1)&lt;0.33</xm:f>
            <x14:dxf>
              <fill>
                <patternFill patternType="solid">
                  <fgColor rgb="FF1A9850"/>
                </patternFill>
              </fill>
            </x14:dxf>
          </x14:cfRule>
          <xm:sqref>B18:E21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RowHeight="15"/>
  <cols>
    <col min="1" max="1" width="10" customWidth="1"/>
    <col min="2" max="2" width="8" customWidth="1"/>
    <col min="3" max="6" width="16" customWidth="1"/>
  </cols>
  <sheetData>
    <row r="1" spans="1:6" ht="21">
      <c r="A1" s="1" t="s">
        <v>37</v>
      </c>
    </row>
    <row r="3" spans="1:6">
      <c r="A3" s="3" t="s">
        <v>38</v>
      </c>
    </row>
    <row r="4" spans="1:6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>
      <c r="A5" t="s">
        <v>45</v>
      </c>
      <c r="B5" t="s">
        <v>46</v>
      </c>
      <c r="C5">
        <v>-5.3475740054875596</v>
      </c>
      <c r="D5">
        <v>-1.2026217175928859</v>
      </c>
      <c r="E5">
        <v>0.72488060105712926</v>
      </c>
      <c r="F5">
        <v>-0.88132100535024627</v>
      </c>
    </row>
    <row r="6" spans="1:6">
      <c r="A6" t="s">
        <v>45</v>
      </c>
      <c r="B6" t="s">
        <v>47</v>
      </c>
      <c r="C6">
        <v>-1.452545519090213</v>
      </c>
      <c r="D6">
        <v>-0.62906619059561808</v>
      </c>
      <c r="E6">
        <v>0.64932306994639655</v>
      </c>
      <c r="F6">
        <v>2.3121599228434642</v>
      </c>
    </row>
    <row r="7" spans="1:6">
      <c r="A7" t="s">
        <v>45</v>
      </c>
      <c r="B7" t="s">
        <v>48</v>
      </c>
      <c r="C7">
        <v>-0.94906764377170005</v>
      </c>
      <c r="D7">
        <v>-0.12353295659750931</v>
      </c>
      <c r="E7">
        <v>-0.85419814486432644</v>
      </c>
      <c r="F7">
        <v>-0.70593718201774236</v>
      </c>
    </row>
    <row r="8" spans="1:6">
      <c r="A8" t="s">
        <v>49</v>
      </c>
      <c r="B8" t="s">
        <v>46</v>
      </c>
      <c r="C8">
        <v>-4.1692217732787364</v>
      </c>
      <c r="D8">
        <v>-1.128936216985361</v>
      </c>
      <c r="E8">
        <v>0.91330028933381324</v>
      </c>
      <c r="F8">
        <v>-0.5672342639854363</v>
      </c>
    </row>
    <row r="9" spans="1:6">
      <c r="A9" t="s">
        <v>49</v>
      </c>
      <c r="B9" t="s">
        <v>47</v>
      </c>
      <c r="C9">
        <v>-1.2495274826401459</v>
      </c>
      <c r="D9">
        <v>-0.29346409868940943</v>
      </c>
      <c r="E9">
        <v>0.44966352080639821</v>
      </c>
      <c r="F9">
        <v>-0.90981841189774626</v>
      </c>
    </row>
    <row r="10" spans="1:6">
      <c r="A10" t="s">
        <v>50</v>
      </c>
      <c r="B10" t="s">
        <v>46</v>
      </c>
      <c r="C10">
        <v>-2.58836899194133</v>
      </c>
      <c r="D10">
        <v>-0.84275115700278203</v>
      </c>
      <c r="E10">
        <v>1.357734366352352</v>
      </c>
      <c r="F10">
        <v>-0.35791083554584069</v>
      </c>
    </row>
    <row r="12" spans="1:6">
      <c r="A12" s="3" t="s">
        <v>51</v>
      </c>
    </row>
    <row r="13" spans="1:6">
      <c r="A13" s="3" t="s">
        <v>39</v>
      </c>
      <c r="B13" s="3" t="s">
        <v>52</v>
      </c>
    </row>
    <row r="14" spans="1:6">
      <c r="A14" t="s">
        <v>45</v>
      </c>
      <c r="B14">
        <v>0</v>
      </c>
    </row>
    <row r="15" spans="1:6">
      <c r="A15" t="s">
        <v>49</v>
      </c>
      <c r="B15">
        <v>0.04</v>
      </c>
    </row>
    <row r="16" spans="1:6">
      <c r="A16" t="s">
        <v>50</v>
      </c>
      <c r="B16">
        <v>0.05</v>
      </c>
    </row>
    <row r="18" spans="1:3">
      <c r="A18" s="3" t="s">
        <v>53</v>
      </c>
    </row>
    <row r="19" spans="1:3">
      <c r="A19" s="3" t="s">
        <v>54</v>
      </c>
      <c r="B19" s="3" t="s">
        <v>55</v>
      </c>
      <c r="C19" s="3" t="s">
        <v>56</v>
      </c>
    </row>
    <row r="20" spans="1:3">
      <c r="A20" t="s">
        <v>42</v>
      </c>
      <c r="B20">
        <v>-0.78106768377955926</v>
      </c>
      <c r="C20">
        <v>0.6476016012982474</v>
      </c>
    </row>
    <row r="21" spans="1:3">
      <c r="A21" t="s">
        <v>43</v>
      </c>
      <c r="B21">
        <v>-0.37043616162190313</v>
      </c>
      <c r="C21">
        <v>0.30909073542753801</v>
      </c>
    </row>
    <row r="22" spans="1:3">
      <c r="A22" t="s">
        <v>44</v>
      </c>
      <c r="B22">
        <v>-0.2398950514451208</v>
      </c>
      <c r="C22">
        <v>4.4961301290542217E-2</v>
      </c>
    </row>
    <row r="24" spans="1:3">
      <c r="A24" s="3" t="s">
        <v>57</v>
      </c>
    </row>
    <row r="25" spans="1:3">
      <c r="A25" s="3" t="s">
        <v>54</v>
      </c>
      <c r="B25" s="3" t="s">
        <v>58</v>
      </c>
      <c r="C25" s="3" t="s">
        <v>59</v>
      </c>
    </row>
    <row r="26" spans="1:3">
      <c r="A26" t="s">
        <v>42</v>
      </c>
      <c r="B26">
        <v>-2.3432030513386781</v>
      </c>
      <c r="C26">
        <v>1.9428048038947421</v>
      </c>
    </row>
    <row r="27" spans="1:3">
      <c r="A27" t="s">
        <v>43</v>
      </c>
      <c r="B27">
        <v>-2</v>
      </c>
      <c r="C27">
        <v>10</v>
      </c>
    </row>
    <row r="28" spans="1:3">
      <c r="A28" t="s">
        <v>44</v>
      </c>
      <c r="B28">
        <v>-3.598425771676812</v>
      </c>
      <c r="C28">
        <v>0.67441951935813338</v>
      </c>
    </row>
    <row r="29" spans="1:3">
      <c r="A29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3"/>
  <sheetViews>
    <sheetView workbookViewId="0"/>
  </sheetViews>
  <sheetFormatPr defaultRowHeight="15"/>
  <cols>
    <col min="1" max="1" width="34" customWidth="1"/>
  </cols>
  <sheetData>
    <row r="1" spans="1:5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</row>
    <row r="2" spans="1:5">
      <c r="B2">
        <v>1</v>
      </c>
      <c r="C2">
        <f>MIN(MAX(C3,Model_Weights!B26),Model_Weights!C26)</f>
        <v>1</v>
      </c>
      <c r="D2">
        <f>MIN(MAX(D3,Model_Weights!B27),Model_Weights!C27)</f>
        <v>10</v>
      </c>
      <c r="E2">
        <f>MIN(MAX(C2*D2,Model_Weights!B28),Model_Weights!C28)</f>
        <v>0.67441951935813338</v>
      </c>
    </row>
    <row r="3" spans="1:5">
      <c r="A3" t="s">
        <v>66</v>
      </c>
      <c r="B3">
        <v>1</v>
      </c>
      <c r="C3">
        <f>Scenario!C4</f>
        <v>1</v>
      </c>
      <c r="D3">
        <f>Scenario!C5</f>
        <v>10</v>
      </c>
      <c r="E3">
        <f>C3*D3</f>
        <v>10</v>
      </c>
    </row>
    <row r="4" spans="1:5">
      <c r="A4" t="s">
        <v>67</v>
      </c>
      <c r="C4" t="str">
        <f>IF(C2&lt;&gt;C3,"Delta Earnings: "&amp;TEXT(C3,"0.000")&amp;" -&gt; "&amp;TEXT(C2,"0.000"),"")</f>
        <v/>
      </c>
      <c r="D4" t="str">
        <f>IF(D2&lt;&gt;D3,"Delta Yield: "&amp;TEXT(D3,"0.000")&amp;" -&gt; "&amp;TEXT(D2,"0.000"),"")</f>
        <v/>
      </c>
      <c r="E4" t="str">
        <f>IF(E2&lt;&gt;E3,"Interaction: "&amp;TEXT(E3,"0.000")&amp;" -&gt; "&amp;TEXT(E2,"0.000"),"")</f>
        <v>Interaction: 10.000 -&gt; 0.674</v>
      </c>
    </row>
    <row r="7" spans="1:5">
      <c r="A7" s="3" t="s">
        <v>45</v>
      </c>
    </row>
    <row r="8" spans="1:5">
      <c r="A8" t="s">
        <v>68</v>
      </c>
      <c r="B8">
        <f>SUMPRODUCT($B$2:$E$2, Model_Weights!C5:F5)</f>
        <v>0.10423019866230665</v>
      </c>
    </row>
    <row r="9" spans="1:5">
      <c r="A9" t="s">
        <v>69</v>
      </c>
      <c r="B9">
        <f>IF(B8&gt;=0,1/(1+EXP(-B8)),EXP(B8)/(1+EXP(B8)))</f>
        <v>0.52603398464047324</v>
      </c>
    </row>
    <row r="10" spans="1:5">
      <c r="A10" t="s">
        <v>70</v>
      </c>
      <c r="B10">
        <f>1-B9</f>
        <v>0.47396601535952676</v>
      </c>
    </row>
    <row r="11" spans="1:5">
      <c r="A11" t="s">
        <v>71</v>
      </c>
      <c r="B11">
        <f>SUMPRODUCT($B$2:$E$2, Model_Weights!C6:F6)</f>
        <v>5.9709847736213622</v>
      </c>
    </row>
    <row r="12" spans="1:5">
      <c r="A12" t="s">
        <v>72</v>
      </c>
      <c r="B12">
        <f>IF(B11&gt;=0,1/(1+EXP(-B11)),EXP(B11)/(1+EXP(B11)))</f>
        <v>0.99745476743190853</v>
      </c>
    </row>
    <row r="13" spans="1:5">
      <c r="A13" t="s">
        <v>73</v>
      </c>
      <c r="B13">
        <f>B9*(1-B12)</f>
        <v>1.3388788296298613E-3</v>
      </c>
    </row>
    <row r="14" spans="1:5">
      <c r="A14" t="s">
        <v>74</v>
      </c>
      <c r="B14">
        <f>B9*B12</f>
        <v>0.52469510581084333</v>
      </c>
    </row>
    <row r="15" spans="1:5">
      <c r="A15" t="s">
        <v>75</v>
      </c>
      <c r="B15">
        <f>SUMPRODUCT($B$2:$E$2, Model_Weights!C7:F7)</f>
        <v>-10.090679864005915</v>
      </c>
    </row>
    <row r="16" spans="1:5">
      <c r="A16" t="s">
        <v>76</v>
      </c>
      <c r="B16">
        <f>IF(B15&gt;=0,1/(1+EXP(-B15)),EXP(B15)/(1+EXP(B15)))</f>
        <v>4.1462492799324158E-5</v>
      </c>
    </row>
    <row r="17" spans="1:5">
      <c r="A17" t="s">
        <v>77</v>
      </c>
      <c r="B17">
        <f>B14*(1-B16)</f>
        <v>0.52467335064379683</v>
      </c>
    </row>
    <row r="18" spans="1:5">
      <c r="A18" t="s">
        <v>78</v>
      </c>
      <c r="B18">
        <f>B14*B16</f>
        <v>2.175516704652272E-5</v>
      </c>
    </row>
    <row r="19" spans="1:5">
      <c r="A19" t="s">
        <v>79</v>
      </c>
      <c r="B19">
        <f>B10</f>
        <v>0.47396601535952676</v>
      </c>
      <c r="C19">
        <f>B13</f>
        <v>1.3388788296298613E-3</v>
      </c>
      <c r="D19">
        <f>B17</f>
        <v>0.52467335064379683</v>
      </c>
      <c r="E19">
        <f>B18</f>
        <v>2.175516704652272E-5</v>
      </c>
    </row>
    <row r="21" spans="1:5">
      <c r="A21" s="3" t="s">
        <v>49</v>
      </c>
    </row>
    <row r="22" spans="1:5">
      <c r="A22" t="s">
        <v>68</v>
      </c>
      <c r="B22">
        <f>SUMPRODUCT($B$2:$E$2, Model_Weights!C8:F8)</f>
        <v>3.4522910433935121</v>
      </c>
    </row>
    <row r="23" spans="1:5">
      <c r="A23" t="s">
        <v>69</v>
      </c>
      <c r="B23">
        <f>IF(B22&gt;=0,1/(1+EXP(-B22)),EXP(B22)/(1+EXP(B22)))</f>
        <v>0.96929939105099205</v>
      </c>
    </row>
    <row r="24" spans="1:5">
      <c r="A24" t="s">
        <v>70</v>
      </c>
      <c r="B24">
        <f>1-B23</f>
        <v>3.0700608949007946E-2</v>
      </c>
    </row>
    <row r="25" spans="1:5">
      <c r="A25" t="s">
        <v>71</v>
      </c>
      <c r="B25">
        <f>SUMPRODUCT($B$2:$E$2, Model_Weights!C9:F9)</f>
        <v>2.3400443306791687</v>
      </c>
    </row>
    <row r="26" spans="1:5">
      <c r="A26" t="s">
        <v>80</v>
      </c>
      <c r="B26">
        <f>IF(B25&gt;=0,1/(1+EXP(-B25)),EXP(B25)/(1+EXP(B25)))</f>
        <v>0.91213963793697006</v>
      </c>
    </row>
    <row r="27" spans="1:5">
      <c r="A27" t="s">
        <v>73</v>
      </c>
      <c r="B27">
        <f>B23*(1-B26)</f>
        <v>8.5162995445214607E-2</v>
      </c>
    </row>
    <row r="28" spans="1:5">
      <c r="A28" t="s">
        <v>77</v>
      </c>
      <c r="B28">
        <f>B23*B26</f>
        <v>0.8841363956057775</v>
      </c>
    </row>
    <row r="29" spans="1:5">
      <c r="A29" t="s">
        <v>81</v>
      </c>
      <c r="B29">
        <f>Model_Weights!B15</f>
        <v>0.04</v>
      </c>
    </row>
    <row r="30" spans="1:5">
      <c r="A30" t="s">
        <v>82</v>
      </c>
      <c r="B30">
        <f>B29</f>
        <v>0.04</v>
      </c>
      <c r="C30">
        <f>(1-B29)*B24</f>
        <v>2.9472584591047627E-2</v>
      </c>
      <c r="D30">
        <f>(1-B29)*B27</f>
        <v>8.1756475627406025E-2</v>
      </c>
      <c r="E30">
        <f>(1-B29)*B28</f>
        <v>0.84877093978154639</v>
      </c>
    </row>
    <row r="32" spans="1:5">
      <c r="A32" s="3" t="s">
        <v>50</v>
      </c>
    </row>
    <row r="33" spans="1:5">
      <c r="A33" t="s">
        <v>68</v>
      </c>
      <c r="B33">
        <f>SUMPRODUCT($B$2:$E$2, Model_Weights!C10:F10)</f>
        <v>9.9048414608975133</v>
      </c>
    </row>
    <row r="34" spans="1:5">
      <c r="A34" t="s">
        <v>73</v>
      </c>
      <c r="B34">
        <f>IF(B33&gt;=0,1/(1+EXP(-B33)),EXP(B33)/(1+EXP(B33)))</f>
        <v>0.99995007014272719</v>
      </c>
    </row>
    <row r="35" spans="1:5">
      <c r="A35" t="s">
        <v>70</v>
      </c>
      <c r="B35">
        <f>1-B34</f>
        <v>4.9929857272812406E-5</v>
      </c>
    </row>
    <row r="36" spans="1:5">
      <c r="A36" t="s">
        <v>81</v>
      </c>
      <c r="B36">
        <f>Model_Weights!B16</f>
        <v>0.05</v>
      </c>
    </row>
    <row r="37" spans="1:5">
      <c r="A37" t="s">
        <v>83</v>
      </c>
      <c r="B37">
        <v>0</v>
      </c>
      <c r="C37">
        <f>B36</f>
        <v>0.05</v>
      </c>
      <c r="D37">
        <f>(1-B36)*B35</f>
        <v>4.7433364409171781E-5</v>
      </c>
      <c r="E37">
        <f>(1-B36)*B34</f>
        <v>0.9499525666355908</v>
      </c>
    </row>
    <row r="38" spans="1:5">
      <c r="A38" s="3" t="s">
        <v>84</v>
      </c>
    </row>
    <row r="39" spans="1:5">
      <c r="B39">
        <f>B19</f>
        <v>0.47396601535952676</v>
      </c>
      <c r="C39">
        <f>C19</f>
        <v>1.3388788296298613E-3</v>
      </c>
      <c r="D39">
        <f>D19</f>
        <v>0.52467335064379683</v>
      </c>
      <c r="E39">
        <f>E19</f>
        <v>2.175516704652272E-5</v>
      </c>
    </row>
    <row r="40" spans="1:5">
      <c r="B40">
        <f>B30</f>
        <v>0.04</v>
      </c>
      <c r="C40">
        <f>C30</f>
        <v>2.9472584591047627E-2</v>
      </c>
      <c r="D40">
        <f>D30</f>
        <v>8.1756475627406025E-2</v>
      </c>
      <c r="E40">
        <f>E30</f>
        <v>0.84877093978154639</v>
      </c>
    </row>
    <row r="41" spans="1:5">
      <c r="B41">
        <f>B37</f>
        <v>0</v>
      </c>
      <c r="C41">
        <f>C37</f>
        <v>0.05</v>
      </c>
      <c r="D41">
        <f>D37</f>
        <v>4.7433364409171781E-5</v>
      </c>
      <c r="E41">
        <f>E37</f>
        <v>0.9499525666355908</v>
      </c>
    </row>
    <row r="42" spans="1:5">
      <c r="B42">
        <v>0</v>
      </c>
      <c r="C42">
        <v>0</v>
      </c>
      <c r="D42">
        <v>0</v>
      </c>
      <c r="E42">
        <v>1</v>
      </c>
    </row>
    <row r="43" spans="1:5">
      <c r="A43" s="3" t="s">
        <v>85</v>
      </c>
    </row>
    <row r="44" spans="1:5">
      <c r="B44">
        <f t="shared" ref="B44:E47" si="0">B39</f>
        <v>0.47396601535952676</v>
      </c>
      <c r="C44">
        <f t="shared" si="0"/>
        <v>1.3388788296298613E-3</v>
      </c>
      <c r="D44">
        <f t="shared" si="0"/>
        <v>0.52467335064379683</v>
      </c>
      <c r="E44">
        <f t="shared" si="0"/>
        <v>2.175516704652272E-5</v>
      </c>
    </row>
    <row r="45" spans="1:5">
      <c r="B45">
        <f t="shared" si="0"/>
        <v>0.04</v>
      </c>
      <c r="C45">
        <f t="shared" si="0"/>
        <v>2.9472584591047627E-2</v>
      </c>
      <c r="D45">
        <f t="shared" si="0"/>
        <v>8.1756475627406025E-2</v>
      </c>
      <c r="E45">
        <f t="shared" si="0"/>
        <v>0.84877093978154639</v>
      </c>
    </row>
    <row r="46" spans="1:5">
      <c r="B46">
        <f t="shared" si="0"/>
        <v>0</v>
      </c>
      <c r="C46">
        <f t="shared" si="0"/>
        <v>0.05</v>
      </c>
      <c r="D46">
        <f t="shared" si="0"/>
        <v>4.7433364409171781E-5</v>
      </c>
      <c r="E46">
        <f t="shared" si="0"/>
        <v>0.9499525666355908</v>
      </c>
    </row>
    <row r="47" spans="1:5">
      <c r="B47">
        <f t="shared" si="0"/>
        <v>0</v>
      </c>
      <c r="C47">
        <f t="shared" si="0"/>
        <v>0</v>
      </c>
      <c r="D47">
        <f t="shared" si="0"/>
        <v>0</v>
      </c>
      <c r="E47">
        <f t="shared" si="0"/>
        <v>1</v>
      </c>
    </row>
    <row r="48" spans="1:5">
      <c r="B48">
        <f t="array" ref="B48:E51">MMULT($B$44:$E$47,$B$39:$E$42)</f>
        <v>0.22469733886897236</v>
      </c>
      <c r="C48">
        <v>2.6907710815682166E-2</v>
      </c>
      <c r="D48">
        <v>0.24881168640661175</v>
      </c>
      <c r="E48">
        <v>0.4995832639087337</v>
      </c>
    </row>
    <row r="49" spans="2:5">
      <c r="B49">
        <v>2.0137543998022974E-2</v>
      </c>
      <c r="C49">
        <v>5.0100121770319545E-3</v>
      </c>
      <c r="D49">
        <v>2.3400386654247766E-2</v>
      </c>
      <c r="E49">
        <v>0.95145205717069736</v>
      </c>
    </row>
    <row r="50" spans="2:5">
      <c r="B50">
        <v>2E-3</v>
      </c>
      <c r="C50">
        <v>1.4760008977728399E-3</v>
      </c>
      <c r="D50">
        <v>4.0878260312943613E-3</v>
      </c>
      <c r="E50">
        <v>0.99243617307093279</v>
      </c>
    </row>
    <row r="51" spans="2:5">
      <c r="B51">
        <v>0</v>
      </c>
      <c r="C51">
        <v>0</v>
      </c>
      <c r="D51">
        <v>0</v>
      </c>
      <c r="E51">
        <v>1</v>
      </c>
    </row>
    <row r="52" spans="2:5">
      <c r="B52">
        <f t="array" ref="B52:E55">MMULT($B$48:$E$51,$B$39:$E$42)</f>
        <v>0.10757521079824343</v>
      </c>
      <c r="C52">
        <v>1.3534466613583061E-2</v>
      </c>
      <c r="D52">
        <v>0.12010438724401055</v>
      </c>
      <c r="E52">
        <v>0.75878593534416283</v>
      </c>
    </row>
    <row r="53" spans="2:5">
      <c r="B53">
        <v>9.7449119749513802E-3</v>
      </c>
      <c r="C53">
        <v>1.3446390717418342E-3</v>
      </c>
      <c r="D53">
        <v>1.09763435806916E-2</v>
      </c>
      <c r="E53">
        <v>0.97793410537261527</v>
      </c>
    </row>
    <row r="54" spans="2:5">
      <c r="B54">
        <v>1.0069720666299672E-3</v>
      </c>
      <c r="C54">
        <v>2.5057062054005004E-4</v>
      </c>
      <c r="D54">
        <v>1.1702132320541719E-3</v>
      </c>
      <c r="E54">
        <v>0.99757224408077583</v>
      </c>
    </row>
    <row r="55" spans="2:5">
      <c r="B55">
        <v>0</v>
      </c>
      <c r="C55">
        <v>0</v>
      </c>
      <c r="D55">
        <v>0</v>
      </c>
      <c r="E55">
        <v>1</v>
      </c>
    </row>
    <row r="56" spans="2:5">
      <c r="B56">
        <f t="array" ref="B56:E59">MMULT($B$52:$E$55,$B$39:$E$42)</f>
        <v>5.1528372678047898E-2</v>
      </c>
      <c r="C56">
        <v>6.5481452466948026E-3</v>
      </c>
      <c r="D56">
        <v>5.7554073540717766E-2</v>
      </c>
      <c r="E56">
        <v>0.88436940853453938</v>
      </c>
    </row>
    <row r="57" spans="2:5">
      <c r="B57">
        <v>4.6725426616667154E-3</v>
      </c>
      <c r="C57">
        <v>6.0149442416078793E-4</v>
      </c>
      <c r="D57">
        <v>5.2233492140280622E-3</v>
      </c>
      <c r="E57">
        <v>0.98950261370014447</v>
      </c>
    </row>
    <row r="58" spans="2:5">
      <c r="B58">
        <v>4.8729336282055547E-4</v>
      </c>
      <c r="C58">
        <v>6.7243838994646008E-5</v>
      </c>
      <c r="D58">
        <v>5.4887268618525255E-4</v>
      </c>
      <c r="E58">
        <v>0.9988965901119996</v>
      </c>
    </row>
    <row r="59" spans="2:5">
      <c r="B59">
        <v>0</v>
      </c>
      <c r="C59">
        <v>0</v>
      </c>
      <c r="D59">
        <v>0</v>
      </c>
      <c r="E59">
        <v>1</v>
      </c>
    </row>
    <row r="60" spans="2:5">
      <c r="B60">
        <f t="array" ref="B60:E63">MMULT($B$56:$E$59,$B$39:$E$42)</f>
        <v>2.4684623286042859E-2</v>
      </c>
      <c r="C60">
        <v>3.1396846890374835E-3</v>
      </c>
      <c r="D60">
        <v>2.7573647206823274E-2</v>
      </c>
      <c r="E60">
        <v>0.94460204481809629</v>
      </c>
    </row>
    <row r="61" spans="2:5">
      <c r="B61">
        <v>2.2386862039140022E-3</v>
      </c>
      <c r="C61">
        <v>2.8515102444877334E-4</v>
      </c>
      <c r="D61">
        <v>2.5009824395783877E-3</v>
      </c>
      <c r="E61">
        <v>0.99497518033205889</v>
      </c>
    </row>
    <row r="62" spans="2:5">
      <c r="B62">
        <v>2.3365024704698867E-4</v>
      </c>
      <c r="C62">
        <v>3.0077910809558705E-5</v>
      </c>
      <c r="D62">
        <v>2.6119349557954128E-4</v>
      </c>
      <c r="E62">
        <v>0.99947507834656402</v>
      </c>
    </row>
    <row r="63" spans="2:5">
      <c r="B63">
        <v>0</v>
      </c>
      <c r="C63">
        <v>0</v>
      </c>
      <c r="D63">
        <v>0</v>
      </c>
      <c r="E63">
        <v>1</v>
      </c>
    </row>
    <row r="64" spans="2:5">
      <c r="B64">
        <f t="array" ref="B64:E67">MMULT($B$60:$E$63,$B$39:$E$42)</f>
        <v>1.1825259927098222E-2</v>
      </c>
      <c r="C64">
        <v>1.5042667024631091E-3</v>
      </c>
      <c r="D64">
        <v>1.320936147448108E-2</v>
      </c>
      <c r="E64">
        <v>0.97346111189595752</v>
      </c>
    </row>
    <row r="65" spans="2:5">
      <c r="B65">
        <v>1.0724672206874155E-3</v>
      </c>
      <c r="C65">
        <v>1.3645058923281465E-4</v>
      </c>
      <c r="D65">
        <v>1.1980105644395151E-3</v>
      </c>
      <c r="E65">
        <v>0.99759307162564026</v>
      </c>
    </row>
    <row r="66" spans="2:5">
      <c r="B66">
        <v>1.1194539301301261E-4</v>
      </c>
      <c r="C66">
        <v>1.4258977918942769E-5</v>
      </c>
      <c r="D66">
        <v>1.2506151126517656E-4</v>
      </c>
      <c r="E66">
        <v>0.99974873411780296</v>
      </c>
    </row>
    <row r="67" spans="2:5">
      <c r="B67">
        <v>0</v>
      </c>
      <c r="C67">
        <v>0</v>
      </c>
      <c r="D67">
        <v>0</v>
      </c>
      <c r="E67">
        <v>1</v>
      </c>
    </row>
    <row r="68" spans="2:5">
      <c r="B68">
        <f t="array" ref="B68:E71">MMULT($B$64:$E$67,$B$39:$E$42)</f>
        <v>5.664941996335957E-3</v>
      </c>
      <c r="C68">
        <v>7.2063529153115649E-4</v>
      </c>
      <c r="D68">
        <v>6.3280088566379199E-3</v>
      </c>
      <c r="E68">
        <v>0.98728641385549487</v>
      </c>
    </row>
    <row r="69" spans="2:5">
      <c r="B69">
        <v>5.1377103876223311E-4</v>
      </c>
      <c r="C69">
        <v>6.5357983412888535E-5</v>
      </c>
      <c r="D69">
        <v>5.7390751507833352E-4</v>
      </c>
      <c r="E69">
        <v>0.9988469634627466</v>
      </c>
    </row>
    <row r="70" spans="2:5">
      <c r="B70">
        <v>5.3628670980991501E-5</v>
      </c>
      <c r="C70">
        <v>6.8232058129364666E-6</v>
      </c>
      <c r="D70">
        <v>5.9906460310213176E-5</v>
      </c>
      <c r="E70">
        <v>0.999879641662896</v>
      </c>
    </row>
    <row r="71" spans="2:5">
      <c r="B71">
        <v>0</v>
      </c>
      <c r="C71">
        <v>0</v>
      </c>
      <c r="D71">
        <v>0</v>
      </c>
      <c r="E71">
        <v>1</v>
      </c>
    </row>
    <row r="72" spans="2:5">
      <c r="B72">
        <f t="array" ref="B72:E75">MMULT($B$68:$E$71,$B$39:$E$42)</f>
        <v>2.7138153969074427E-3</v>
      </c>
      <c r="C72">
        <v>3.4522409833081765E-4</v>
      </c>
      <c r="D72">
        <v>3.0314608588187428E-3</v>
      </c>
      <c r="E72">
        <v>0.99390949964594288</v>
      </c>
    </row>
    <row r="73" spans="2:5">
      <c r="B73">
        <v>2.4612433138577615E-4</v>
      </c>
      <c r="C73">
        <v>3.1309521615829022E-5</v>
      </c>
      <c r="D73">
        <v>2.7493263311337697E-4</v>
      </c>
      <c r="E73">
        <v>0.9994476335138851</v>
      </c>
    </row>
    <row r="74" spans="2:5">
      <c r="B74">
        <v>2.5691095726405083E-5</v>
      </c>
      <c r="C74">
        <v>3.2682228182521916E-6</v>
      </c>
      <c r="D74">
        <v>2.8698217318879037E-5</v>
      </c>
      <c r="E74">
        <v>0.9999423424641366</v>
      </c>
    </row>
    <row r="75" spans="2:5">
      <c r="B75">
        <v>0</v>
      </c>
      <c r="C75">
        <v>0</v>
      </c>
      <c r="D75">
        <v>0</v>
      </c>
      <c r="E75">
        <v>1</v>
      </c>
    </row>
    <row r="76" spans="2:5">
      <c r="B76">
        <f t="array" ref="B76:E79">MMULT($B$72:$E$75,$B$39:$E$42)</f>
        <v>1.3000652340267858E-3</v>
      </c>
      <c r="C76">
        <v>1.6538115936430326E-4</v>
      </c>
      <c r="D76">
        <v>1.4522347152929385E-3</v>
      </c>
      <c r="E76">
        <v>0.99708231889131582</v>
      </c>
    </row>
    <row r="77" spans="2:5">
      <c r="B77">
        <v>1.1790694949457719E-4</v>
      </c>
      <c r="C77">
        <v>1.4998934836745825E-5</v>
      </c>
      <c r="D77">
        <v>1.3170767474380407E-4</v>
      </c>
      <c r="E77">
        <v>0.99973538644092497</v>
      </c>
    </row>
    <row r="78" spans="2:5">
      <c r="B78">
        <v>1.2307435184394472E-5</v>
      </c>
      <c r="C78">
        <v>1.5656311035953597E-6</v>
      </c>
      <c r="D78">
        <v>1.374799290866883E-5</v>
      </c>
      <c r="E78">
        <v>0.99997237894080349</v>
      </c>
    </row>
    <row r="79" spans="2:5">
      <c r="B79">
        <v>0</v>
      </c>
      <c r="C79">
        <v>0</v>
      </c>
      <c r="D79">
        <v>0</v>
      </c>
      <c r="E79">
        <v>1</v>
      </c>
    </row>
    <row r="80" spans="2:5">
      <c r="B80">
        <f t="array" ref="B80:E83">MMULT($B$76:$E$79,$B$39:$E$42)</f>
        <v>6.2280198505369852E-4</v>
      </c>
      <c r="C80">
        <v>7.9226575792753148E-5</v>
      </c>
      <c r="D80">
        <v>6.9569944749560354E-4</v>
      </c>
      <c r="E80">
        <v>0.99860227199165774</v>
      </c>
    </row>
    <row r="81" spans="2:5">
      <c r="B81">
        <v>5.6483844428611556E-5</v>
      </c>
      <c r="C81">
        <v>7.1853042314863335E-6</v>
      </c>
      <c r="D81">
        <v>6.3095141644057816E-5</v>
      </c>
      <c r="E81">
        <v>0.99987323570969588</v>
      </c>
    </row>
    <row r="82" spans="2:5">
      <c r="B82">
        <v>5.8959312577869046E-6</v>
      </c>
      <c r="C82">
        <v>7.5002100498795846E-7</v>
      </c>
      <c r="D82">
        <v>6.5860358507477382E-6</v>
      </c>
      <c r="E82">
        <v>0.99998676801188657</v>
      </c>
    </row>
    <row r="83" spans="2:5">
      <c r="B83">
        <v>0</v>
      </c>
      <c r="C83">
        <v>0</v>
      </c>
      <c r="D83">
        <v>0</v>
      </c>
      <c r="E83">
        <v>1</v>
      </c>
    </row>
    <row r="84" spans="2:5">
      <c r="B84">
        <f t="array" ref="B84:E87">MMULT($B$80:$E$83,$B$39:$E$42)</f>
        <v>2.9835603824561517E-4</v>
      </c>
      <c r="C84">
        <v>3.7953840724530995E-5</v>
      </c>
      <c r="D84">
        <v>3.3327788926398725E-4</v>
      </c>
      <c r="E84">
        <v>0.99933041223176566</v>
      </c>
    </row>
    <row r="85" spans="2:5">
      <c r="B85">
        <v>2.7058834845275878E-5</v>
      </c>
      <c r="C85">
        <v>3.442151592499359E-6</v>
      </c>
      <c r="D85">
        <v>3.0226005878725646E-5</v>
      </c>
      <c r="E85">
        <v>0.99993927300768359</v>
      </c>
    </row>
    <row r="86" spans="2:5">
      <c r="B86">
        <v>2.8244718852864604E-6</v>
      </c>
      <c r="C86">
        <v>3.5930078759396093E-7</v>
      </c>
      <c r="D86">
        <v>3.1550694800414118E-6</v>
      </c>
      <c r="E86">
        <v>0.99999366115784716</v>
      </c>
    </row>
    <row r="87" spans="2:5">
      <c r="B87">
        <v>0</v>
      </c>
      <c r="C87">
        <v>0</v>
      </c>
      <c r="D87">
        <v>0</v>
      </c>
      <c r="E87">
        <v>1</v>
      </c>
    </row>
    <row r="88" spans="2:5">
      <c r="B88">
        <f t="array" ref="B88:E91">MMULT($B$84:$E$87,$B$39:$E$42)</f>
        <v>1.4292877623471004E-4</v>
      </c>
      <c r="C88">
        <v>1.8181954827807543E-5</v>
      </c>
      <c r="D88">
        <v>1.5965824301686823E-4</v>
      </c>
      <c r="E88">
        <v>0.99967923102592038</v>
      </c>
    </row>
    <row r="89" spans="2:5">
      <c r="B89">
        <v>1.29626541955869E-5</v>
      </c>
      <c r="C89">
        <v>1.6489778990502197E-6</v>
      </c>
      <c r="D89">
        <v>1.4479901446717508E-5</v>
      </c>
      <c r="E89">
        <v>0.99997090846645875</v>
      </c>
    </row>
    <row r="90" spans="2:5">
      <c r="B90">
        <v>1.3530757164679923E-6</v>
      </c>
      <c r="C90">
        <v>1.7212462247015842E-7</v>
      </c>
      <c r="D90">
        <v>1.5114499494966655E-6</v>
      </c>
      <c r="E90">
        <v>0.99999696334971167</v>
      </c>
    </row>
    <row r="91" spans="2:5">
      <c r="B91">
        <v>0</v>
      </c>
      <c r="C91">
        <v>0</v>
      </c>
      <c r="D91">
        <v>0</v>
      </c>
      <c r="E91">
        <v>1</v>
      </c>
    </row>
    <row r="92" spans="2:5">
      <c r="B92">
        <f t="array" ref="B92:E95">MMULT($B$88:$E$91,$B$39:$E$42)</f>
        <v>6.8470660745291245E-5</v>
      </c>
      <c r="C92">
        <v>8.7101456651821339E-6</v>
      </c>
      <c r="D92">
        <v>7.6484985604842988E-5</v>
      </c>
      <c r="E92">
        <v>0.99984633420798441</v>
      </c>
    </row>
    <row r="93" spans="2:5">
      <c r="B93">
        <v>6.2098166735277837E-6</v>
      </c>
      <c r="C93">
        <v>7.8995013623268505E-7</v>
      </c>
      <c r="D93">
        <v>6.9366606618912103E-6</v>
      </c>
      <c r="E93">
        <v>0.99998606357252851</v>
      </c>
    </row>
    <row r="94" spans="2:5">
      <c r="B94">
        <v>6.4819689071287737E-7</v>
      </c>
      <c r="C94">
        <v>8.2457059402452416E-8</v>
      </c>
      <c r="D94">
        <v>7.240667654921161E-7</v>
      </c>
      <c r="E94">
        <v>0.99999854527928445</v>
      </c>
    </row>
    <row r="95" spans="2:5">
      <c r="B95">
        <v>0</v>
      </c>
      <c r="C95">
        <v>0</v>
      </c>
      <c r="D95">
        <v>0</v>
      </c>
      <c r="E95">
        <v>1</v>
      </c>
    </row>
    <row r="96" spans="2:5">
      <c r="B96">
        <f t="array" ref="B96:E99">MMULT($B$92:$E$95,$B$39:$E$42)</f>
        <v>3.2801172069086945E-5</v>
      </c>
      <c r="C96">
        <v>4.1726337032822158E-6</v>
      </c>
      <c r="D96">
        <v>3.6640469746007292E-5</v>
      </c>
      <c r="E96">
        <v>0.99992638572448134</v>
      </c>
    </row>
    <row r="97" spans="2:5">
      <c r="B97">
        <v>2.9748400703144222E-6</v>
      </c>
      <c r="C97">
        <v>3.7842909738745679E-7</v>
      </c>
      <c r="D97">
        <v>3.323037889196271E-6</v>
      </c>
      <c r="E97">
        <v>0.99999332369294325</v>
      </c>
    </row>
    <row r="98" spans="2:5">
      <c r="B98">
        <v>3.1052157983571522E-7</v>
      </c>
      <c r="C98">
        <v>3.9501418027381E-8</v>
      </c>
      <c r="D98">
        <v>3.4686737801730467E-7</v>
      </c>
      <c r="E98">
        <v>0.99999930310962415</v>
      </c>
    </row>
    <row r="99" spans="2:5">
      <c r="B99">
        <v>0</v>
      </c>
      <c r="C99">
        <v>0</v>
      </c>
      <c r="D99">
        <v>0</v>
      </c>
      <c r="E99">
        <v>1</v>
      </c>
    </row>
    <row r="100" spans="2:5">
      <c r="B100">
        <f t="array" ref="B100:E103">MMULT($B$96:$E$99,$B$39:$E$42)</f>
        <v>1.5713546172838632E-5</v>
      </c>
      <c r="C100">
        <v>1.9989185819581527E-6</v>
      </c>
      <c r="D100">
        <v>1.7552778660949643E-5</v>
      </c>
      <c r="E100">
        <v>0.99996473475658398</v>
      </c>
    </row>
    <row r="101" spans="2:5">
      <c r="B101">
        <v>1.4251102583542794E-6</v>
      </c>
      <c r="C101">
        <v>1.8128812843595776E-7</v>
      </c>
      <c r="D101">
        <v>1.5919159594656986E-6</v>
      </c>
      <c r="E101">
        <v>0.99999680168565386</v>
      </c>
    </row>
    <row r="102" spans="2:5">
      <c r="B102">
        <v>1.4875673259897437E-7</v>
      </c>
      <c r="C102">
        <v>1.8923328554528812E-8</v>
      </c>
      <c r="D102">
        <v>1.6616834754655669E-7</v>
      </c>
      <c r="E102">
        <v>0.9999996661515913</v>
      </c>
    </row>
    <row r="103" spans="2:5">
      <c r="B103">
        <v>0</v>
      </c>
      <c r="C103">
        <v>0</v>
      </c>
      <c r="D103">
        <v>0</v>
      </c>
      <c r="E103">
        <v>1</v>
      </c>
    </row>
    <row r="104" spans="2:5">
      <c r="B104">
        <f t="array" ref="B104:E107">MMULT($B$100:$E$103,$B$39:$E$42)</f>
        <v>7.5276436099865942E-6</v>
      </c>
      <c r="C104">
        <v>9.5759076435408572E-7</v>
      </c>
      <c r="D104">
        <v>8.4087360466729043E-6</v>
      </c>
      <c r="E104">
        <v>0.99998310602957874</v>
      </c>
    </row>
    <row r="105" spans="2:5">
      <c r="B105">
        <v>6.8270535573760189E-7</v>
      </c>
      <c r="C105">
        <v>8.6846877628765302E-8</v>
      </c>
      <c r="D105">
        <v>7.6261436267141328E-7</v>
      </c>
      <c r="E105">
        <v>0.99999846783340407</v>
      </c>
    </row>
    <row r="106" spans="2:5">
      <c r="B106">
        <v>7.1262568950019662E-8</v>
      </c>
      <c r="C106">
        <v>9.0653040189370492E-9</v>
      </c>
      <c r="D106">
        <v>7.9603679897067372E-8</v>
      </c>
      <c r="E106">
        <v>0.99999984006844711</v>
      </c>
    </row>
    <row r="107" spans="2:5">
      <c r="B107">
        <v>0</v>
      </c>
      <c r="C107">
        <v>0</v>
      </c>
      <c r="D107">
        <v>0</v>
      </c>
      <c r="E107">
        <v>1</v>
      </c>
    </row>
    <row r="108" spans="2:5">
      <c r="B108">
        <f t="array" ref="B108:E111">MMULT($B$104:$E$107,$B$39:$E$42)</f>
        <v>3.6061508774461131E-6</v>
      </c>
      <c r="C108">
        <v>4.5873807980608654E-7</v>
      </c>
      <c r="D108">
        <v>4.0282420959320985E-6</v>
      </c>
      <c r="E108">
        <v>0.99999190686894657</v>
      </c>
    </row>
    <row r="109" spans="2:5">
      <c r="B109">
        <v>3.2705301222870999E-7</v>
      </c>
      <c r="C109">
        <v>4.1604379828624809E-8</v>
      </c>
      <c r="D109">
        <v>3.6533377449645356E-7</v>
      </c>
      <c r="E109">
        <v>0.9999992660088336</v>
      </c>
    </row>
    <row r="110" spans="2:5">
      <c r="B110">
        <v>3.4138648010281834E-8</v>
      </c>
      <c r="C110">
        <v>4.3427738793072749E-9</v>
      </c>
      <c r="D110">
        <v>3.8134494003927534E-8</v>
      </c>
      <c r="E110">
        <v>0.99999992338408406</v>
      </c>
    </row>
    <row r="111" spans="2:5">
      <c r="B111">
        <v>0</v>
      </c>
      <c r="C111">
        <v>0</v>
      </c>
      <c r="D111">
        <v>0</v>
      </c>
      <c r="E111">
        <v>1</v>
      </c>
    </row>
    <row r="112" spans="2:5">
      <c r="B112">
        <f t="array" ref="B112:E115">MMULT($B$108:$E$111,$B$39:$E$42)</f>
        <v>1.7275424853606389E-6</v>
      </c>
      <c r="C112">
        <v>2.1976050072508833E-7</v>
      </c>
      <c r="D112">
        <v>1.9297471455130137E-6</v>
      </c>
      <c r="E112">
        <v>0.99999612294986817</v>
      </c>
    </row>
    <row r="113" spans="2:5">
      <c r="B113">
        <v>1.5667618821051724E-7</v>
      </c>
      <c r="C113">
        <v>1.9930761682919597E-8</v>
      </c>
      <c r="D113">
        <v>1.750147562396929E-7</v>
      </c>
      <c r="E113">
        <v>0.99999964837829403</v>
      </c>
    </row>
    <row r="114" spans="2:5">
      <c r="B114">
        <v>1.635426992236701E-8</v>
      </c>
      <c r="C114">
        <v>2.0804249838072046E-9</v>
      </c>
      <c r="D114">
        <v>1.8268497572173325E-8</v>
      </c>
      <c r="E114">
        <v>0.99999996329680751</v>
      </c>
    </row>
    <row r="115" spans="2:5">
      <c r="B115">
        <v>0</v>
      </c>
      <c r="C115">
        <v>0</v>
      </c>
      <c r="D115">
        <v>0</v>
      </c>
      <c r="E115">
        <v>1</v>
      </c>
    </row>
    <row r="116" spans="2:5">
      <c r="B116">
        <f t="array" ref="B116:E119">MMULT($B$112:$E$115,$B$39:$E$42)</f>
        <v>8.2758684817967916E-7</v>
      </c>
      <c r="C116">
        <v>1.0527723728397736E-7</v>
      </c>
      <c r="D116">
        <v>9.2445388259464656E-7</v>
      </c>
      <c r="E116">
        <v>0.99999814268203169</v>
      </c>
    </row>
    <row r="117" spans="2:5">
      <c r="B117">
        <v>7.5056419095174903E-8</v>
      </c>
      <c r="C117">
        <v>9.5479193031506694E-9</v>
      </c>
      <c r="D117">
        <v>8.3841591004985175E-8</v>
      </c>
      <c r="E117">
        <v>0.99999983155407079</v>
      </c>
    </row>
    <row r="118" spans="2:5">
      <c r="B118">
        <v>7.8345851485707374E-9</v>
      </c>
      <c r="C118">
        <v>9.9663676570236252E-10</v>
      </c>
      <c r="D118">
        <v>8.7516043482871951E-9</v>
      </c>
      <c r="E118">
        <v>0.99999998241717369</v>
      </c>
    </row>
    <row r="119" spans="2:5">
      <c r="B119">
        <v>0</v>
      </c>
      <c r="C119">
        <v>0</v>
      </c>
      <c r="D119">
        <v>0</v>
      </c>
      <c r="E119">
        <v>1</v>
      </c>
    </row>
    <row r="120" spans="2:5">
      <c r="B120">
        <f t="array" ref="B120:E123">MMULT($B$116:$E$119,$B$39:$E$42)</f>
        <v>3.9645913028703126E-7</v>
      </c>
      <c r="C120">
        <v>5.043352492180402E-8</v>
      </c>
      <c r="D120">
        <v>4.4286371042519222E-7</v>
      </c>
      <c r="E120">
        <v>0.99999911024363408</v>
      </c>
    </row>
    <row r="121" spans="2:5">
      <c r="B121">
        <v>3.5956108657820771E-8</v>
      </c>
      <c r="C121">
        <v>4.5739728601342196E-9</v>
      </c>
      <c r="D121">
        <v>4.0164684014529726E-8</v>
      </c>
      <c r="E121">
        <v>0.99999991930523469</v>
      </c>
    </row>
    <row r="122" spans="2:5">
      <c r="B122">
        <v>3.7531925754910933E-9</v>
      </c>
      <c r="C122">
        <v>4.7744323899242465E-10</v>
      </c>
      <c r="D122">
        <v>4.192494668287477E-9</v>
      </c>
      <c r="E122">
        <v>0.99999999157686947</v>
      </c>
    </row>
    <row r="123" spans="2:5">
      <c r="B123">
        <v>0</v>
      </c>
      <c r="C123">
        <v>0</v>
      </c>
      <c r="D123">
        <v>0</v>
      </c>
      <c r="E123">
        <v>1</v>
      </c>
    </row>
    <row r="124" spans="2:5">
      <c r="B124">
        <f t="array" ref="B124:E127">MMULT($B$120:$E$123,$B$39:$E$42)</f>
        <v>1.8992549523191984E-7</v>
      </c>
      <c r="C124">
        <v>2.4160402587096964E-8</v>
      </c>
      <c r="D124">
        <v>2.1215581404785614E-7</v>
      </c>
      <c r="E124">
        <v>0.99999957375828785</v>
      </c>
    </row>
    <row r="125" spans="2:5">
      <c r="B125">
        <v>1.7224932462786862E-8</v>
      </c>
      <c r="C125">
        <v>2.1911818754417757E-9</v>
      </c>
      <c r="D125">
        <v>1.9241069052364479E-8</v>
      </c>
      <c r="E125">
        <v>0.99999996134281688</v>
      </c>
    </row>
    <row r="126" spans="2:5">
      <c r="B126">
        <v>1.7979834594421704E-9</v>
      </c>
      <c r="C126">
        <v>2.2872128974585087E-10</v>
      </c>
      <c r="D126">
        <v>2.0084330648538717E-9</v>
      </c>
      <c r="E126">
        <v>0.99999999596486211</v>
      </c>
    </row>
    <row r="127" spans="2:5">
      <c r="B127">
        <v>0</v>
      </c>
      <c r="C127">
        <v>0</v>
      </c>
      <c r="D127">
        <v>0</v>
      </c>
      <c r="E127">
        <v>1</v>
      </c>
    </row>
    <row r="128" spans="2:5">
      <c r="B128">
        <f t="array" ref="B128:E131">MMULT($B$124:$E$127,$B$39:$E$42)</f>
        <v>9.0984646293741725E-8</v>
      </c>
      <c r="C128">
        <v>1.1574147436167773E-8</v>
      </c>
      <c r="D128">
        <v>1.0163417858531342E-7</v>
      </c>
      <c r="E128">
        <v>0.99999979580702736</v>
      </c>
    </row>
    <row r="129" spans="2:5">
      <c r="B129">
        <v>8.2516798792417195E-9</v>
      </c>
      <c r="C129">
        <v>1.0496953432127816E-9</v>
      </c>
      <c r="D129">
        <v>9.2175190060982426E-9</v>
      </c>
      <c r="E129">
        <v>0.99999998148110603</v>
      </c>
    </row>
    <row r="130" spans="2:5">
      <c r="B130">
        <v>8.6133190754397688E-10</v>
      </c>
      <c r="C130">
        <v>1.0956994279237348E-10</v>
      </c>
      <c r="D130">
        <v>9.6214871935568081E-10</v>
      </c>
      <c r="E130">
        <v>0.99999999806694939</v>
      </c>
    </row>
    <row r="131" spans="2:5">
      <c r="B131">
        <v>0</v>
      </c>
      <c r="C131">
        <v>0</v>
      </c>
      <c r="D131">
        <v>0</v>
      </c>
      <c r="E131">
        <v>1</v>
      </c>
    </row>
    <row r="132" spans="2:5">
      <c r="B132">
        <f t="array" ref="B132:E135">MMULT($B$128:$E$131,$B$39:$E$42)</f>
        <v>4.3586596160187405E-8</v>
      </c>
      <c r="C132">
        <v>5.5446463853914345E-9</v>
      </c>
      <c r="D132">
        <v>4.8688301581880499E-8</v>
      </c>
      <c r="E132">
        <v>0.99999990218045554</v>
      </c>
    </row>
    <row r="133" spans="2:5">
      <c r="B133">
        <v>3.9530036461150902E-9</v>
      </c>
      <c r="C133">
        <v>5.0286118460177898E-10</v>
      </c>
      <c r="D133">
        <v>4.4156931403632957E-9</v>
      </c>
      <c r="E133">
        <v>0.99999999112844229</v>
      </c>
    </row>
    <row r="134" spans="2:5">
      <c r="B134">
        <v>4.1262484983233397E-10</v>
      </c>
      <c r="C134">
        <v>5.2489964431663857E-11</v>
      </c>
      <c r="D134">
        <v>4.6092158825573334E-10</v>
      </c>
      <c r="E134">
        <v>0.99999999907396353</v>
      </c>
    </row>
    <row r="135" spans="2:5">
      <c r="B135">
        <v>0</v>
      </c>
      <c r="C135">
        <v>0</v>
      </c>
      <c r="D135">
        <v>0</v>
      </c>
      <c r="E135">
        <v>1</v>
      </c>
    </row>
    <row r="136" spans="2:5">
      <c r="B136">
        <f t="array" ref="B136:E139">MMULT($B$132:$E$135,$B$39:$E$42)</f>
        <v>2.0880351160544529E-8</v>
      </c>
      <c r="C136">
        <v>2.6561873095694218E-9</v>
      </c>
      <c r="D136">
        <v>2.3324345647544812E-8</v>
      </c>
      <c r="E136">
        <v>0.99999995313911549</v>
      </c>
    </row>
    <row r="137" spans="2:5">
      <c r="B137">
        <v>1.8937038342349212E-9</v>
      </c>
      <c r="C137">
        <v>2.4089786871412829E-10</v>
      </c>
      <c r="D137">
        <v>2.1153572774790599E-9</v>
      </c>
      <c r="E137">
        <v>0.99999999575004128</v>
      </c>
    </row>
    <row r="138" spans="2:5">
      <c r="B138">
        <v>1.9766975449062098E-10</v>
      </c>
      <c r="C138">
        <v>2.5145549005699673E-11</v>
      </c>
      <c r="D138">
        <v>2.2080652007982471E-10</v>
      </c>
      <c r="E138">
        <v>0.99999999955637808</v>
      </c>
    </row>
    <row r="139" spans="2:5">
      <c r="B139">
        <v>0</v>
      </c>
      <c r="C139">
        <v>0</v>
      </c>
      <c r="D139">
        <v>0</v>
      </c>
      <c r="E139">
        <v>1</v>
      </c>
    </row>
    <row r="140" spans="2:5">
      <c r="B140">
        <f t="array" ref="B140:E143">MMULT($B$136:$E$139,$B$39:$E$42)</f>
        <v>1.0002824331253738E-8</v>
      </c>
      <c r="C140">
        <v>1.272458247672283E-9</v>
      </c>
      <c r="D140">
        <v>1.1173630671245334E-8</v>
      </c>
      <c r="E140">
        <v>0.99999997755108638</v>
      </c>
    </row>
    <row r="141" spans="2:5">
      <c r="B141">
        <v>9.0718717533194849E-10</v>
      </c>
      <c r="C141">
        <v>1.1540318666067926E-10</v>
      </c>
      <c r="D141">
        <v>1.0133712350798602E-9</v>
      </c>
      <c r="E141">
        <v>0.99999999796403871</v>
      </c>
    </row>
    <row r="142" spans="2:5">
      <c r="B142">
        <v>9.469456785324354E-11</v>
      </c>
      <c r="C142">
        <v>1.2046086173695678E-11</v>
      </c>
      <c r="D142">
        <v>1.0577833747008392E-10</v>
      </c>
      <c r="E142">
        <v>0.99999999978748089</v>
      </c>
    </row>
    <row r="143" spans="2:5">
      <c r="B143">
        <v>0</v>
      </c>
      <c r="C143">
        <v>0</v>
      </c>
      <c r="D143">
        <v>0</v>
      </c>
      <c r="E143">
        <v>1</v>
      </c>
    </row>
    <row r="144" spans="2:5">
      <c r="B144">
        <f t="array" ref="B144:E147">MMULT($B$140:$E$143,$B$39:$E$42)</f>
        <v>4.7918971205325479E-9</v>
      </c>
      <c r="C144">
        <v>6.0957673663898643E-10</v>
      </c>
      <c r="D144">
        <v>5.3527770623883086E-9</v>
      </c>
      <c r="E144">
        <v>0.99999998924574873</v>
      </c>
    </row>
    <row r="145" spans="2:5">
      <c r="B145">
        <v>4.3459201814377517E-10</v>
      </c>
      <c r="C145">
        <v>5.5284405638489999E-11</v>
      </c>
      <c r="D145">
        <v>4.8545996036711912E-10</v>
      </c>
      <c r="E145">
        <v>0.99999999902466397</v>
      </c>
    </row>
    <row r="146" spans="2:5">
      <c r="B146">
        <v>4.5363850448542007E-11</v>
      </c>
      <c r="C146">
        <v>5.7707307194291478E-12</v>
      </c>
      <c r="D146">
        <v>5.0673579176420857E-11</v>
      </c>
      <c r="E146">
        <v>0.99999999989819177</v>
      </c>
    </row>
    <row r="147" spans="2:5">
      <c r="B147">
        <v>0</v>
      </c>
      <c r="C147">
        <v>0</v>
      </c>
      <c r="D147">
        <v>0</v>
      </c>
      <c r="E147">
        <v>1</v>
      </c>
    </row>
    <row r="148" spans="2:5">
      <c r="B148">
        <f t="array" ref="B148:E151">MMULT($B$144:$E$147,$B$39:$E$42)</f>
        <v>2.2955794536971614E-9</v>
      </c>
      <c r="C148">
        <v>2.9202042466318805E-10</v>
      </c>
      <c r="D148">
        <v>2.5642714640072341E-9</v>
      </c>
      <c r="E148">
        <v>0.99999999484812829</v>
      </c>
    </row>
    <row r="149" spans="2:5">
      <c r="B149">
        <v>2.0819322337219988E-10</v>
      </c>
      <c r="C149">
        <v>2.6484238392720962E-11</v>
      </c>
      <c r="D149">
        <v>2.3256173548390926E-10</v>
      </c>
      <c r="E149">
        <v>0.9999999995327612</v>
      </c>
    </row>
    <row r="150" spans="2:5">
      <c r="B150">
        <v>2.1731752667238102E-11</v>
      </c>
      <c r="C150">
        <v>2.7644940070976236E-12</v>
      </c>
      <c r="D150">
        <v>2.4275401636702967E-11</v>
      </c>
      <c r="E150">
        <v>0.99999999995122824</v>
      </c>
    </row>
    <row r="151" spans="2:5">
      <c r="B151">
        <v>0</v>
      </c>
      <c r="C151">
        <v>0</v>
      </c>
      <c r="D151">
        <v>0</v>
      </c>
      <c r="E151">
        <v>1</v>
      </c>
    </row>
    <row r="152" spans="2:5">
      <c r="B152">
        <f t="array" ref="B152:E155">MMULT($B$148:$E$151,$B$39:$E$42)</f>
        <v>1.0997074635965703E-9</v>
      </c>
      <c r="C152">
        <v>1.3989367260084959E-10</v>
      </c>
      <c r="D152">
        <v>1.2284255563948234E-9</v>
      </c>
      <c r="E152">
        <v>0.999999997531973</v>
      </c>
    </row>
    <row r="153" spans="2:5">
      <c r="B153">
        <v>9.973588204228631E-11</v>
      </c>
      <c r="C153">
        <v>1.2687391229799844E-11</v>
      </c>
      <c r="D153">
        <v>1.1140972526423628E-10</v>
      </c>
      <c r="E153">
        <v>0.99999999977616738</v>
      </c>
    </row>
    <row r="154" spans="2:5">
      <c r="B154">
        <v>1.0410691978753517E-11</v>
      </c>
      <c r="C154">
        <v>1.3243430488876948E-12</v>
      </c>
      <c r="D154">
        <v>1.1629238238167484E-11</v>
      </c>
      <c r="E154">
        <v>0.99999999997663558</v>
      </c>
    </row>
    <row r="155" spans="2:5">
      <c r="B155">
        <v>0</v>
      </c>
      <c r="C155">
        <v>0</v>
      </c>
      <c r="D155">
        <v>0</v>
      </c>
      <c r="E155">
        <v>1</v>
      </c>
    </row>
    <row r="156" spans="2:5">
      <c r="B156">
        <f t="array" ref="B156:E159">MMULT($B$152:$E$155,$B$39:$E$42)</f>
        <v>5.2681971148603224E-10</v>
      </c>
      <c r="C156">
        <v>6.7016680961017429E-11</v>
      </c>
      <c r="D156">
        <v>5.8848268164468938E-10</v>
      </c>
      <c r="E156">
        <v>0.99999999881768065</v>
      </c>
    </row>
    <row r="157" spans="2:5">
      <c r="B157">
        <v>4.7778914249142214E-11</v>
      </c>
      <c r="C157">
        <v>6.0779507354926839E-12</v>
      </c>
      <c r="D157">
        <v>5.3371320340492522E-11</v>
      </c>
      <c r="E157">
        <v>0.99999999989277222</v>
      </c>
    </row>
    <row r="158" spans="2:5">
      <c r="B158">
        <v>4.987287916260699E-12</v>
      </c>
      <c r="C158">
        <v>6.3443237953643328E-13</v>
      </c>
      <c r="D158">
        <v>5.5710378771069708E-12</v>
      </c>
      <c r="E158">
        <v>0.99999999998880706</v>
      </c>
    </row>
    <row r="159" spans="2:5">
      <c r="B159">
        <v>0</v>
      </c>
      <c r="C159">
        <v>0</v>
      </c>
      <c r="D159">
        <v>0</v>
      </c>
      <c r="E159">
        <v>1</v>
      </c>
    </row>
    <row r="160" spans="2:5">
      <c r="B160">
        <f t="array" ref="B160:E163">MMULT($B$156:$E$159,$B$39:$E$42)</f>
        <v>2.5237530670433093E-10</v>
      </c>
      <c r="C160">
        <v>3.2104636639609672E-11</v>
      </c>
      <c r="D160">
        <v>2.819152245676809E-10</v>
      </c>
      <c r="E160">
        <v>0.99999999943360451</v>
      </c>
    </row>
    <row r="161" spans="2:5">
      <c r="B161">
        <v>2.2888699634290159E-11</v>
      </c>
      <c r="C161">
        <v>2.9116691110075317E-12</v>
      </c>
      <c r="D161">
        <v>2.5567766441677684E-11</v>
      </c>
      <c r="E161">
        <v>0.99999999994863231</v>
      </c>
    </row>
    <row r="162" spans="2:5">
      <c r="B162">
        <v>2.389182276302258E-12</v>
      </c>
      <c r="C162">
        <v>3.0392763003688596E-13</v>
      </c>
      <c r="D162">
        <v>2.6688302700943902E-12</v>
      </c>
      <c r="E162">
        <v>0.99999999999463784</v>
      </c>
    </row>
    <row r="163" spans="2:5">
      <c r="B163">
        <v>0</v>
      </c>
      <c r="C163">
        <v>0</v>
      </c>
      <c r="D163">
        <v>0</v>
      </c>
      <c r="E163">
        <v>1</v>
      </c>
    </row>
    <row r="164" spans="2:5">
      <c r="B164">
        <f t="array" ref="B164:E167">MMULT($B$160:$E$163,$B$39:$E$42)</f>
        <v>1.2090150395937458E-10</v>
      </c>
      <c r="C164">
        <v>1.537986780277756E-11</v>
      </c>
      <c r="D164">
        <v>1.3505273191884956E-10</v>
      </c>
      <c r="E164">
        <v>0.9999999997286656</v>
      </c>
    </row>
    <row r="165" spans="2:5">
      <c r="B165">
        <v>1.0964932526865866E-11</v>
      </c>
      <c r="C165">
        <v>1.394847931637302E-12</v>
      </c>
      <c r="D165">
        <v>1.2248351298894381E-11</v>
      </c>
      <c r="E165">
        <v>0.99999999997539235</v>
      </c>
    </row>
    <row r="166" spans="2:5">
      <c r="B166">
        <v>1.1445483086680606E-12</v>
      </c>
      <c r="C166">
        <v>1.4559787186040624E-13</v>
      </c>
      <c r="D166">
        <v>1.2785149136826328E-12</v>
      </c>
      <c r="E166">
        <v>0.99999999999743117</v>
      </c>
    </row>
    <row r="167" spans="2:5">
      <c r="B167">
        <v>0</v>
      </c>
      <c r="C167">
        <v>0</v>
      </c>
      <c r="D167">
        <v>0</v>
      </c>
      <c r="E167">
        <v>1</v>
      </c>
    </row>
    <row r="168" spans="2:5">
      <c r="B168">
        <f t="array" ref="B168:E171">MMULT($B$164:$E$167,$B$39:$E$42)</f>
        <v>5.791839879470992E-11</v>
      </c>
      <c r="C168">
        <v>7.3677935148805871E-12</v>
      </c>
      <c r="D168">
        <v>6.4697606972857388E-11</v>
      </c>
      <c r="E168">
        <v>0.99999999987001587</v>
      </c>
    </row>
    <row r="169" spans="2:5">
      <c r="B169">
        <v>5.2527992957101743E-12</v>
      </c>
      <c r="C169">
        <v>6.6820805463008786E-13</v>
      </c>
      <c r="D169">
        <v>5.8676267198912831E-12</v>
      </c>
      <c r="E169">
        <v>0.99999999998821187</v>
      </c>
    </row>
    <row r="170" spans="2:5">
      <c r="B170">
        <v>5.4830091612030268E-13</v>
      </c>
      <c r="C170">
        <v>6.9749302778778309E-14</v>
      </c>
      <c r="D170">
        <v>6.1247820920852274E-13</v>
      </c>
      <c r="E170">
        <v>0.99999999999876932</v>
      </c>
    </row>
    <row r="171" spans="2:5">
      <c r="B171">
        <v>0</v>
      </c>
      <c r="C171">
        <v>0</v>
      </c>
      <c r="D171">
        <v>0</v>
      </c>
      <c r="E171">
        <v>1</v>
      </c>
    </row>
    <row r="172" spans="2:5">
      <c r="B172">
        <f t="array" ref="B172:E175">MMULT($B$168:$E$171,$B$39:$E$42)</f>
        <v>2.7746064433327899E-11</v>
      </c>
      <c r="C172">
        <v>3.5295739842518566E-12</v>
      </c>
      <c r="D172">
        <v>3.0993674015639138E-11</v>
      </c>
      <c r="E172">
        <v>0.99999999993773037</v>
      </c>
    </row>
    <row r="173" spans="2:5">
      <c r="B173">
        <v>2.5163766738562834E-12</v>
      </c>
      <c r="C173">
        <v>3.2010801618238983E-13</v>
      </c>
      <c r="D173">
        <v>2.8109124635484563E-12</v>
      </c>
      <c r="E173">
        <v>0.99999999999435307</v>
      </c>
    </row>
    <row r="174" spans="2:5">
      <c r="B174">
        <v>2.6266597254266913E-13</v>
      </c>
      <c r="C174">
        <v>3.3413711175600407E-14</v>
      </c>
      <c r="D174">
        <v>2.9341038789665439E-13</v>
      </c>
      <c r="E174">
        <v>0.99999999999941036</v>
      </c>
    </row>
    <row r="175" spans="2:5">
      <c r="B175">
        <v>0</v>
      </c>
      <c r="C175">
        <v>0</v>
      </c>
      <c r="D175">
        <v>0</v>
      </c>
      <c r="E175">
        <v>1</v>
      </c>
    </row>
    <row r="176" spans="2:5">
      <c r="B176">
        <f t="array" ref="B176:E179">MMULT($B$172:$E$175,$B$39:$E$42)</f>
        <v>1.3291874560743184E-11</v>
      </c>
      <c r="C176">
        <v>1.6908579868785095E-12</v>
      </c>
      <c r="D176">
        <v>1.4847656257065407E-11</v>
      </c>
      <c r="E176">
        <v>0.99999999997016931</v>
      </c>
    </row>
    <row r="177" spans="2:5">
      <c r="B177">
        <v>1.2054813458986178E-12</v>
      </c>
      <c r="C177">
        <v>1.5334915721863134E-13</v>
      </c>
      <c r="D177">
        <v>1.3465800152124275E-12</v>
      </c>
      <c r="E177">
        <v>0.99999999999729505</v>
      </c>
    </row>
    <row r="178" spans="2:5">
      <c r="B178">
        <v>1.2583129282360777E-13</v>
      </c>
      <c r="C178">
        <v>1.6006985733857957E-14</v>
      </c>
      <c r="D178">
        <v>1.4055954061927345E-13</v>
      </c>
      <c r="E178">
        <v>0.99999999999971745</v>
      </c>
    </row>
    <row r="179" spans="2:5">
      <c r="B179">
        <v>0</v>
      </c>
      <c r="C179">
        <v>0</v>
      </c>
      <c r="D179">
        <v>0</v>
      </c>
      <c r="E179">
        <v>1</v>
      </c>
    </row>
    <row r="180" spans="2:5">
      <c r="B180">
        <f t="array" ref="B180:E183">MMULT($B$176:$E$179,$B$39:$E$42)</f>
        <v>6.3675311416892472E-12</v>
      </c>
      <c r="C180">
        <v>8.1001297735847045E-13</v>
      </c>
      <c r="D180">
        <v>7.1128352262056726E-12</v>
      </c>
      <c r="E180">
        <v>0.99999999998570932</v>
      </c>
    </row>
    <row r="181" spans="2:5">
      <c r="B181">
        <v>5.7749115639455249E-13</v>
      </c>
      <c r="C181">
        <v>7.3462590222250728E-14</v>
      </c>
      <c r="D181">
        <v>6.4508509634641768E-13</v>
      </c>
      <c r="E181">
        <v>0.99999999999870437</v>
      </c>
    </row>
    <row r="182" spans="2:5">
      <c r="B182">
        <v>6.0280035896497501E-14</v>
      </c>
      <c r="C182">
        <v>7.6682171261189774E-15</v>
      </c>
      <c r="D182">
        <v>6.7335667972532814E-14</v>
      </c>
      <c r="E182">
        <v>0.99999999999986455</v>
      </c>
    </row>
    <row r="183" spans="2:5">
      <c r="B183">
        <v>0</v>
      </c>
      <c r="C183">
        <v>0</v>
      </c>
      <c r="D183">
        <v>0</v>
      </c>
      <c r="E183">
        <v>1</v>
      </c>
    </row>
    <row r="184" spans="2:5">
      <c r="B184">
        <f t="array" ref="B184:E187">MMULT($B$180:$E$183,$B$39:$E$42)</f>
        <v>3.0503938819984897E-12</v>
      </c>
      <c r="C184">
        <v>3.8804028994794408E-13</v>
      </c>
      <c r="D184">
        <v>3.4074350913853758E-12</v>
      </c>
      <c r="E184">
        <v>0.99999999999315381</v>
      </c>
    </row>
    <row r="185" spans="2:5">
      <c r="B185">
        <v>2.766496859105814E-13</v>
      </c>
      <c r="C185">
        <v>3.5192577905518769E-14</v>
      </c>
      <c r="D185">
        <v>3.0903086101617222E-13</v>
      </c>
      <c r="E185">
        <v>0.9999999999993795</v>
      </c>
    </row>
    <row r="186" spans="2:5">
      <c r="B186">
        <v>2.8877417104636918E-14</v>
      </c>
      <c r="C186">
        <v>3.673493240449851E-15</v>
      </c>
      <c r="D186">
        <v>3.2257448774597573E-14</v>
      </c>
      <c r="E186">
        <v>0.99999999999993505</v>
      </c>
    </row>
    <row r="187" spans="2:5">
      <c r="B187">
        <v>0</v>
      </c>
      <c r="C187">
        <v>0</v>
      </c>
      <c r="D187">
        <v>0</v>
      </c>
      <c r="E187">
        <v>1</v>
      </c>
    </row>
    <row r="188" spans="2:5">
      <c r="B188">
        <f t="array" ref="B188:E191">MMULT($B$184:$E$187,$B$39:$E$42)</f>
        <v>1.4613046451258204E-12</v>
      </c>
      <c r="C188">
        <v>1.8589241263013444E-13</v>
      </c>
      <c r="D188">
        <v>1.6323468114694571E-12</v>
      </c>
      <c r="E188">
        <v>0.99999999999672018</v>
      </c>
    </row>
    <row r="189" spans="2:5">
      <c r="B189">
        <v>1.3253025239772362E-13</v>
      </c>
      <c r="C189">
        <v>1.6859159687795476E-14</v>
      </c>
      <c r="D189">
        <v>1.4804259717250113E-13</v>
      </c>
      <c r="E189">
        <v>0.9999999999997029</v>
      </c>
    </row>
    <row r="190" spans="2:5">
      <c r="B190">
        <v>1.3833854048577797E-14</v>
      </c>
      <c r="C190">
        <v>1.7598031414194684E-15</v>
      </c>
      <c r="D190">
        <v>1.5453073130131257E-14</v>
      </c>
      <c r="E190">
        <v>0.9999999999999688</v>
      </c>
    </row>
    <row r="191" spans="2:5">
      <c r="B191">
        <v>0</v>
      </c>
      <c r="C191">
        <v>0</v>
      </c>
      <c r="D191">
        <v>0</v>
      </c>
      <c r="E191">
        <v>1</v>
      </c>
    </row>
    <row r="192" spans="2:5">
      <c r="B192">
        <f t="array" ref="B192:E195">MMULT($B$188:$E$191,$B$39:$E$42)</f>
        <v>7.0004443638185775E-13</v>
      </c>
      <c r="C192">
        <v>8.9052580282547168E-14</v>
      </c>
      <c r="D192">
        <v>7.8198294067317453E-13</v>
      </c>
      <c r="E192">
        <v>0.99999999999842859</v>
      </c>
    </row>
    <row r="193" spans="2:5">
      <c r="B193">
        <v>6.3489202031053258E-14</v>
      </c>
      <c r="C193">
        <v>8.076454817878404E-15</v>
      </c>
      <c r="D193">
        <v>7.0920459223755298E-14</v>
      </c>
      <c r="E193">
        <v>0.99999999999985789</v>
      </c>
    </row>
    <row r="194" spans="2:5">
      <c r="B194">
        <v>6.6271688061264549E-15</v>
      </c>
      <c r="C194">
        <v>8.430414577734697E-16</v>
      </c>
      <c r="D194">
        <v>7.4028628498740844E-15</v>
      </c>
      <c r="E194">
        <v>0.99999999999998501</v>
      </c>
    </row>
    <row r="195" spans="2:5">
      <c r="B195">
        <v>0</v>
      </c>
      <c r="C195">
        <v>0</v>
      </c>
      <c r="D195">
        <v>0</v>
      </c>
      <c r="E195">
        <v>1</v>
      </c>
    </row>
    <row r="196" spans="2:5">
      <c r="B196">
        <f t="array" ref="B196:E199">MMULT($B$192:$E$195,$B$39:$E$42)</f>
        <v>3.3535937529781672E-13</v>
      </c>
      <c r="C196">
        <v>4.2661031414758996E-14</v>
      </c>
      <c r="D196">
        <v>3.7461237722723198E-13</v>
      </c>
      <c r="E196">
        <v>0.99999999999924705</v>
      </c>
    </row>
    <row r="197" spans="2:5">
      <c r="B197">
        <v>3.0414782297729425E-14</v>
      </c>
      <c r="C197">
        <v>3.869061307512931E-15</v>
      </c>
      <c r="D197">
        <v>3.3974758836793811E-14</v>
      </c>
      <c r="E197">
        <v>0.99999999999993217</v>
      </c>
    </row>
    <row r="198" spans="2:5">
      <c r="B198">
        <v>3.1747744504656469E-15</v>
      </c>
      <c r="C198">
        <v>4.0386272918659908E-16</v>
      </c>
      <c r="D198">
        <v>3.5463741038789968E-15</v>
      </c>
      <c r="E198">
        <v>0.99999999999999278</v>
      </c>
    </row>
    <row r="199" spans="2:5">
      <c r="B199">
        <v>0</v>
      </c>
      <c r="C199">
        <v>0</v>
      </c>
      <c r="D199">
        <v>0</v>
      </c>
      <c r="E199">
        <v>1</v>
      </c>
    </row>
    <row r="200" spans="2:5">
      <c r="B200">
        <f t="array" ref="B200:E203">MMULT($B$196:$E$199,$B$39:$E$42)</f>
        <v>1.6065538807995666E-13</v>
      </c>
      <c r="C200">
        <v>2.0436955286378567E-14</v>
      </c>
      <c r="D200">
        <v>1.7945971180781801E-13</v>
      </c>
      <c r="E200">
        <v>0.99999999999963918</v>
      </c>
    </row>
    <row r="201" spans="2:5">
      <c r="B201">
        <v>1.4570335625982804E-14</v>
      </c>
      <c r="C201">
        <v>1.8534908866395459E-15</v>
      </c>
      <c r="D201">
        <v>1.6275758090856576E-14</v>
      </c>
      <c r="E201">
        <v>0.99999999999996769</v>
      </c>
    </row>
    <row r="202" spans="2:5">
      <c r="B202">
        <v>1.520889705119898E-15</v>
      </c>
      <c r="C202">
        <v>1.9347222194365149E-16</v>
      </c>
      <c r="D202">
        <v>1.6989061582948921E-15</v>
      </c>
      <c r="E202">
        <v>0.99999999999999645</v>
      </c>
    </row>
    <row r="203" spans="2:5">
      <c r="B203">
        <v>0</v>
      </c>
      <c r="C203">
        <v>0</v>
      </c>
      <c r="D203">
        <v>0</v>
      </c>
      <c r="E203">
        <v>1</v>
      </c>
    </row>
    <row r="204" spans="2:5">
      <c r="B204">
        <f t="array" ref="B204:E207">MMULT($B$200:$E$203,$B$39:$E$42)</f>
        <v>7.6962672345750609E-14</v>
      </c>
      <c r="C204">
        <v>9.7904135818183763E-15</v>
      </c>
      <c r="D204">
        <v>8.5970966577566495E-14</v>
      </c>
      <c r="E204">
        <v>0.99999999999982703</v>
      </c>
    </row>
    <row r="205" spans="2:5">
      <c r="B205">
        <v>6.9799835545636073E-15</v>
      </c>
      <c r="C205">
        <v>8.8792298539827881E-16</v>
      </c>
      <c r="D205">
        <v>7.7969737093528038E-15</v>
      </c>
      <c r="E205">
        <v>0.99999999999998468</v>
      </c>
    </row>
    <row r="206" spans="2:5">
      <c r="B206">
        <v>7.2858892221474974E-16</v>
      </c>
      <c r="C206">
        <v>9.2683721370383852E-17</v>
      </c>
      <c r="D206">
        <v>8.1386848937773264E-16</v>
      </c>
      <c r="E206">
        <v>0.99999999999999822</v>
      </c>
    </row>
    <row r="207" spans="2:5">
      <c r="B207">
        <v>0</v>
      </c>
      <c r="C207">
        <v>0</v>
      </c>
      <c r="D207">
        <v>0</v>
      </c>
      <c r="E207">
        <v>1</v>
      </c>
    </row>
    <row r="208" spans="2:5">
      <c r="B208">
        <f t="array" ref="B208:E211">MMULT($B$204:$E$207,$B$39:$E$42)</f>
        <v>3.6869307686408993E-14</v>
      </c>
      <c r="C208">
        <v>4.690140814025274E-15</v>
      </c>
      <c r="D208">
        <v>4.1184770775716097E-14</v>
      </c>
      <c r="E208">
        <v>0.99999999999991696</v>
      </c>
    </row>
    <row r="209" spans="2:5">
      <c r="B209">
        <v>3.3437919120474702E-15</v>
      </c>
      <c r="C209">
        <v>4.2536342297749632E-16</v>
      </c>
      <c r="D209">
        <v>3.735174649621459E-15</v>
      </c>
      <c r="E209">
        <v>0.99999999999999289</v>
      </c>
    </row>
    <row r="210" spans="2:5">
      <c r="B210">
        <v>3.4903373715203246E-16</v>
      </c>
      <c r="C210">
        <v>4.4400545570644524E-17</v>
      </c>
      <c r="D210">
        <v>3.8988728998827827E-16</v>
      </c>
      <c r="E210">
        <v>0.99999999999999911</v>
      </c>
    </row>
    <row r="211" spans="2:5">
      <c r="B211">
        <v>0</v>
      </c>
      <c r="C211">
        <v>0</v>
      </c>
      <c r="D211">
        <v>0</v>
      </c>
      <c r="E211">
        <v>1</v>
      </c>
    </row>
    <row r="212" spans="2:5">
      <c r="B212">
        <f t="array" ref="B212:E215">MMULT($B$208:$E$211,$B$39:$E$42)</f>
        <v>1.7662404485752655E-14</v>
      </c>
      <c r="C212">
        <v>2.2468326461955323E-15</v>
      </c>
      <c r="D212">
        <v>1.9729746115136571E-14</v>
      </c>
      <c r="E212">
        <v>0.99999999999996003</v>
      </c>
    </row>
    <row r="213" spans="2:5">
      <c r="B213">
        <v>1.6018582656636524E-15</v>
      </c>
      <c r="C213">
        <v>2.0377222414844272E-16</v>
      </c>
      <c r="D213">
        <v>1.7893518925733114E-15</v>
      </c>
      <c r="E213">
        <v>0.99999999999999678</v>
      </c>
    </row>
    <row r="214" spans="2:5">
      <c r="B214">
        <v>1.6720615144681903E-16</v>
      </c>
      <c r="C214">
        <v>2.1270277216132851E-17</v>
      </c>
      <c r="D214">
        <v>1.8677722614697758E-16</v>
      </c>
      <c r="E214">
        <v>0.99999999999999956</v>
      </c>
    </row>
    <row r="215" spans="2:5">
      <c r="B215">
        <v>0</v>
      </c>
      <c r="C215">
        <v>0</v>
      </c>
      <c r="D215">
        <v>0</v>
      </c>
      <c r="E215">
        <v>1</v>
      </c>
    </row>
    <row r="216" spans="2:5">
      <c r="B216">
        <f t="array" ref="B216:E219">MMULT($B$212:$E$215,$B$39:$E$42)</f>
        <v>8.4612527816282384E-15</v>
      </c>
      <c r="C216">
        <v>1.0763550904300877E-15</v>
      </c>
      <c r="D216">
        <v>9.4516219086805986E-15</v>
      </c>
      <c r="E216">
        <v>0.99999999999998068</v>
      </c>
    </row>
    <row r="217" spans="2:5">
      <c r="B217">
        <v>7.6737726831326132E-16</v>
      </c>
      <c r="C217">
        <v>9.7617982862151142E-17</v>
      </c>
      <c r="D217">
        <v>8.5719691735972098E-16</v>
      </c>
      <c r="E217">
        <v>0.99999999999999867</v>
      </c>
    </row>
    <row r="218" spans="2:5">
      <c r="B218">
        <v>8.0100844433495694E-17</v>
      </c>
      <c r="C218">
        <v>1.0189620128232418E-17</v>
      </c>
      <c r="D218">
        <v>8.9476454100896793E-17</v>
      </c>
      <c r="E218">
        <v>0.99999999999999978</v>
      </c>
    </row>
    <row r="219" spans="2:5">
      <c r="B219">
        <v>0</v>
      </c>
      <c r="C219">
        <v>0</v>
      </c>
      <c r="D219">
        <v>0</v>
      </c>
      <c r="E219">
        <v>1</v>
      </c>
    </row>
    <row r="220" spans="2:5">
      <c r="B220">
        <f t="array" ref="B220:E223">MMULT($B$216:$E$219,$B$39:$E$42)</f>
        <v>4.0534004694752512E-15</v>
      </c>
      <c r="C220">
        <v>5.1563265410820426E-16</v>
      </c>
      <c r="D220">
        <v>4.5278411685244684E-15</v>
      </c>
      <c r="E220">
        <v>0.99999999999999056</v>
      </c>
    </row>
    <row r="221" spans="2:5">
      <c r="B221">
        <v>3.6761546545440096E-16</v>
      </c>
      <c r="C221">
        <v>4.6764325304382059E-17</v>
      </c>
      <c r="D221">
        <v>4.1064396454422026E-16</v>
      </c>
      <c r="E221">
        <v>0.99999999999999956</v>
      </c>
    </row>
    <row r="222" spans="2:5">
      <c r="B222">
        <v>3.837266286820658E-17</v>
      </c>
      <c r="C222">
        <v>4.8813824710722936E-18</v>
      </c>
      <c r="D222">
        <v>4.2864090037239478E-17</v>
      </c>
      <c r="E222">
        <v>0.99999999999999989</v>
      </c>
    </row>
    <row r="223" spans="2:5">
      <c r="B223">
        <v>0</v>
      </c>
      <c r="C223">
        <v>0</v>
      </c>
      <c r="D223">
        <v>0</v>
      </c>
      <c r="E223">
        <v>1</v>
      </c>
    </row>
    <row r="224" spans="2:5">
      <c r="B224">
        <f t="array" ref="B224:E227">MMULT($B$220:$E$223,$B$39:$E$42)</f>
        <v>1.9417993753379478E-15</v>
      </c>
      <c r="C224">
        <v>2.4701609751892604E-16</v>
      </c>
      <c r="D224">
        <v>2.1690822850791446E-15</v>
      </c>
      <c r="E224">
        <v>0.99999999999999534</v>
      </c>
    </row>
    <row r="225" spans="2:5">
      <c r="B225">
        <v>1.7610781035813547E-16</v>
      </c>
      <c r="C225">
        <v>2.2402656324729108E-17</v>
      </c>
      <c r="D225">
        <v>1.9672080265523192E-16</v>
      </c>
      <c r="E225">
        <v>1</v>
      </c>
    </row>
    <row r="226" spans="2:5">
      <c r="B226">
        <v>1.8382593417221234E-17</v>
      </c>
      <c r="C226">
        <v>2.3384478056126751E-18</v>
      </c>
      <c r="D226">
        <v>2.0534231415213827E-17</v>
      </c>
      <c r="E226">
        <v>0.99999999999999989</v>
      </c>
    </row>
    <row r="227" spans="2:5">
      <c r="B227">
        <v>0</v>
      </c>
      <c r="C227">
        <v>0</v>
      </c>
      <c r="D227">
        <v>0</v>
      </c>
      <c r="E227">
        <v>1</v>
      </c>
    </row>
    <row r="228" spans="2:5">
      <c r="B228">
        <f t="array" ref="B228:E231">MMULT($B$224:$E$227,$B$39:$E$42)</f>
        <v>9.3022755645730217E-16</v>
      </c>
      <c r="C228">
        <v>1.1833415115846271E-16</v>
      </c>
      <c r="D228">
        <v>1.0391084369634374E-15</v>
      </c>
      <c r="E228">
        <v>0.99999999999999756</v>
      </c>
    </row>
    <row r="229" spans="2:5">
      <c r="B229">
        <v>8.4365223402125826E-17</v>
      </c>
      <c r="C229">
        <v>1.0732091335377322E-17</v>
      </c>
      <c r="D229">
        <v>9.423996829046637E-17</v>
      </c>
      <c r="E229">
        <v>1.0000000000000002</v>
      </c>
    </row>
    <row r="230" spans="2:5">
      <c r="B230">
        <v>8.8062624661591226E-18</v>
      </c>
      <c r="C230">
        <v>1.1202437366833714E-18</v>
      </c>
      <c r="D230">
        <v>9.8370141404431813E-18</v>
      </c>
      <c r="E230">
        <v>0.99999999999999989</v>
      </c>
    </row>
    <row r="231" spans="2:5">
      <c r="B231">
        <v>0</v>
      </c>
      <c r="C231">
        <v>0</v>
      </c>
      <c r="D231">
        <v>0</v>
      </c>
      <c r="E231">
        <v>1</v>
      </c>
    </row>
    <row r="232" spans="2:5">
      <c r="B232">
        <f t="array" ref="B232:E235">MMULT($B$228:$E$231,$B$39:$E$42)</f>
        <v>4.4562961435803523E-16</v>
      </c>
      <c r="C232">
        <v>5.6688497110278482E-17</v>
      </c>
      <c r="D232">
        <v>4.9778948046187219E-16</v>
      </c>
      <c r="E232">
        <v>0.99999999999999867</v>
      </c>
    </row>
    <row r="233" spans="2:5">
      <c r="B233">
        <v>4.0415532424236969E-17</v>
      </c>
      <c r="C233">
        <v>5.1412556958141761E-18</v>
      </c>
      <c r="D233">
        <v>4.5146072522655521E-17</v>
      </c>
      <c r="E233">
        <v>1.0000000000000002</v>
      </c>
    </row>
    <row r="234" spans="2:5">
      <c r="B234">
        <v>4.2186788807629338E-18</v>
      </c>
      <c r="C234">
        <v>5.3665770369825552E-19</v>
      </c>
      <c r="D234">
        <v>4.7124650171997426E-18</v>
      </c>
      <c r="E234">
        <v>0.99999999999999989</v>
      </c>
    </row>
    <row r="235" spans="2:5">
      <c r="B235">
        <v>0</v>
      </c>
      <c r="C235">
        <v>0</v>
      </c>
      <c r="D235">
        <v>0</v>
      </c>
      <c r="E235">
        <v>1</v>
      </c>
    </row>
    <row r="236" spans="2:5">
      <c r="B236">
        <f t="array" ref="B236:E239">MMULT($B$232:$E$235,$B$39:$E$42)</f>
        <v>2.1348083252789165E-16</v>
      </c>
      <c r="C236">
        <v>2.7156874606035745E-17</v>
      </c>
      <c r="D236">
        <v>2.3846824647350996E-16</v>
      </c>
      <c r="E236">
        <v>0.99999999999999922</v>
      </c>
    </row>
    <row r="237" spans="2:5">
      <c r="B237">
        <v>1.9361239089581919E-17</v>
      </c>
      <c r="C237">
        <v>2.4629412202828949E-18</v>
      </c>
      <c r="D237">
        <v>2.1627425191176127E-17</v>
      </c>
      <c r="E237">
        <v>1.0000000000000002</v>
      </c>
    </row>
    <row r="238" spans="2:5">
      <c r="B238">
        <v>2.0209767273445258E-18</v>
      </c>
      <c r="C238">
        <v>2.5708824027113139E-19</v>
      </c>
      <c r="D238">
        <v>2.2575271542032033E-18</v>
      </c>
      <c r="E238">
        <v>0.99999999999999989</v>
      </c>
    </row>
    <row r="239" spans="2:5">
      <c r="B239">
        <v>0</v>
      </c>
      <c r="C239">
        <v>0</v>
      </c>
      <c r="D239">
        <v>0</v>
      </c>
      <c r="E239">
        <v>1</v>
      </c>
    </row>
    <row r="240" spans="2:5">
      <c r="B240">
        <f t="array" ref="B240:E243">MMULT($B$236:$E$239,$B$39:$E$42)</f>
        <v>1.0226893453312069E-16</v>
      </c>
      <c r="C240">
        <v>1.3009620574933713E-17</v>
      </c>
      <c r="D240">
        <v>1.1423926540871603E-16</v>
      </c>
      <c r="E240">
        <v>0.99999999999999944</v>
      </c>
    </row>
    <row r="241" spans="2:5">
      <c r="B241">
        <v>9.2750869925235687E-18</v>
      </c>
      <c r="C241">
        <v>1.1798828561488154E-18</v>
      </c>
      <c r="D241">
        <v>1.0360713441134718E-17</v>
      </c>
      <c r="E241">
        <v>1.0000000000000002</v>
      </c>
    </row>
    <row r="242" spans="2:5">
      <c r="B242">
        <v>9.681578162046669E-19</v>
      </c>
      <c r="C242">
        <v>1.2315925557433089E-19</v>
      </c>
      <c r="D242">
        <v>1.0814783416669757E-18</v>
      </c>
      <c r="E242">
        <v>0.99999999999999989</v>
      </c>
    </row>
    <row r="243" spans="2:5">
      <c r="B243">
        <v>0</v>
      </c>
      <c r="C243">
        <v>0</v>
      </c>
      <c r="D243">
        <v>0</v>
      </c>
      <c r="E243">
        <v>1</v>
      </c>
    </row>
    <row r="244" spans="2:5">
      <c r="B244">
        <f t="array" ref="B244:E247">MMULT($B$240:$E$243,$B$39:$E$42)</f>
        <v>4.8992384218724865E-17</v>
      </c>
      <c r="C244">
        <v>6.2323161247031668E-18</v>
      </c>
      <c r="D244">
        <v>5.4726824028425871E-17</v>
      </c>
      <c r="E244">
        <v>0.99999999999999956</v>
      </c>
    </row>
    <row r="245" spans="2:5">
      <c r="B245">
        <v>4.4432713382053256E-18</v>
      </c>
      <c r="C245">
        <v>5.6522808695937381E-19</v>
      </c>
      <c r="D245">
        <v>4.9633454773481547E-18</v>
      </c>
      <c r="E245">
        <v>1.0000000000000002</v>
      </c>
    </row>
    <row r="246" spans="2:5">
      <c r="B246">
        <v>4.6380027260868032E-19</v>
      </c>
      <c r="C246">
        <v>5.8999984665290815E-20</v>
      </c>
      <c r="D246">
        <v>5.1808697021301691E-19</v>
      </c>
      <c r="E246">
        <v>0.99999999999999989</v>
      </c>
    </row>
    <row r="247" spans="2:5">
      <c r="B247">
        <v>0</v>
      </c>
      <c r="C247">
        <v>0</v>
      </c>
      <c r="D247">
        <v>0</v>
      </c>
      <c r="E247">
        <v>1</v>
      </c>
    </row>
    <row r="248" spans="2:5">
      <c r="B248">
        <f t="array" ref="B248:E251">MMULT($B$244:$E$247,$B$39:$E$42)</f>
        <v>2.3470017776100114E-17</v>
      </c>
      <c r="C248">
        <v>2.985618531648301E-18</v>
      </c>
      <c r="D248">
        <v>2.6217126462805328E-17</v>
      </c>
      <c r="E248">
        <v>0.99999999999999967</v>
      </c>
    </row>
    <row r="249" spans="2:5">
      <c r="B249">
        <v>2.1285687348087451E-18</v>
      </c>
      <c r="C249">
        <v>2.7077500840257818E-19</v>
      </c>
      <c r="D249">
        <v>2.37771254532587E-18</v>
      </c>
      <c r="E249">
        <v>1.0000000000000002</v>
      </c>
    </row>
    <row r="250" spans="2:5">
      <c r="B250">
        <v>2.2218556651761012E-19</v>
      </c>
      <c r="C250">
        <v>2.8264202915741463E-20</v>
      </c>
      <c r="D250">
        <v>2.4819184847546161E-19</v>
      </c>
      <c r="E250">
        <v>0.99999999999999989</v>
      </c>
    </row>
    <row r="251" spans="2:5">
      <c r="B251">
        <v>0</v>
      </c>
      <c r="C251">
        <v>0</v>
      </c>
      <c r="D251">
        <v>0</v>
      </c>
      <c r="E251">
        <v>1</v>
      </c>
    </row>
    <row r="252" spans="2:5">
      <c r="B252">
        <f t="array" ref="B252:E255">MMULT($B$248:$E$251,$B$39:$E$42)</f>
        <v>1.1243415547021365E-17</v>
      </c>
      <c r="C252">
        <v>1.4302737278023273E-18</v>
      </c>
      <c r="D252">
        <v>1.2559430081484628E-17</v>
      </c>
      <c r="E252">
        <v>0.99999999999999967</v>
      </c>
    </row>
    <row r="253" spans="2:5">
      <c r="B253">
        <v>1.0197002419922733E-18</v>
      </c>
      <c r="C253">
        <v>1.2971596222302758E-19</v>
      </c>
      <c r="D253">
        <v>1.1390536834483304E-18</v>
      </c>
      <c r="E253">
        <v>1.0000000000000002</v>
      </c>
    </row>
    <row r="254" spans="2:5">
      <c r="B254">
        <v>1.0643897574938041E-19</v>
      </c>
      <c r="C254">
        <v>1.3540091086365551E-20</v>
      </c>
      <c r="D254">
        <v>1.1889739984068571E-19</v>
      </c>
      <c r="E254">
        <v>0.99999999999999989</v>
      </c>
    </row>
    <row r="255" spans="2:5">
      <c r="B255">
        <v>0</v>
      </c>
      <c r="C255">
        <v>0</v>
      </c>
      <c r="D255">
        <v>0</v>
      </c>
      <c r="E255">
        <v>1</v>
      </c>
    </row>
    <row r="256" spans="2:5">
      <c r="B256">
        <f t="array" ref="B256:E259">MMULT($B$252:$E$255,$B$39:$E$42)</f>
        <v>5.3862078149651626E-18</v>
      </c>
      <c r="C256">
        <v>6.8517893855387667E-19</v>
      </c>
      <c r="D256">
        <v>6.0166503829276737E-18</v>
      </c>
      <c r="E256">
        <v>0.99999999999999967</v>
      </c>
    </row>
    <row r="257" spans="2:5">
      <c r="B257">
        <v>4.8849189904714411E-19</v>
      </c>
      <c r="C257">
        <v>6.2141003908415741E-20</v>
      </c>
      <c r="D257">
        <v>5.4566869167079753E-19</v>
      </c>
      <c r="E257">
        <v>1.0000000000000002</v>
      </c>
    </row>
    <row r="258" spans="2:5">
      <c r="B258">
        <v>5.0990060858337751E-20</v>
      </c>
      <c r="C258">
        <v>6.4864403632260168E-21</v>
      </c>
      <c r="D258">
        <v>5.6958323876110499E-20</v>
      </c>
      <c r="E258">
        <v>0.99999999999999989</v>
      </c>
    </row>
    <row r="259" spans="2:5">
      <c r="B259">
        <v>0</v>
      </c>
      <c r="C259">
        <v>0</v>
      </c>
      <c r="D259">
        <v>0</v>
      </c>
      <c r="E259">
        <v>1</v>
      </c>
    </row>
    <row r="260" spans="2:5">
      <c r="B260">
        <f t="array" ref="B260:E263">MMULT($B$256:$E$259,$B$39:$E$42)</f>
        <v>2.5802866134995361E-18</v>
      </c>
      <c r="C260">
        <v>3.2823799298836084E-19</v>
      </c>
      <c r="D260">
        <v>2.8823029067020037E-18</v>
      </c>
      <c r="E260">
        <v>0.99999999999999967</v>
      </c>
    </row>
    <row r="261" spans="2:5">
      <c r="B261">
        <v>2.3401419908311972E-19</v>
      </c>
      <c r="C261">
        <v>2.9768922039883191E-20</v>
      </c>
      <c r="D261">
        <v>2.6140499380881602E-19</v>
      </c>
      <c r="E261">
        <v>1.0000000000000002</v>
      </c>
    </row>
    <row r="262" spans="2:5">
      <c r="B262">
        <v>2.4427013582495154E-20</v>
      </c>
      <c r="C262">
        <v>3.107357869110256E-21</v>
      </c>
      <c r="D262">
        <v>2.7286136308472443E-20</v>
      </c>
      <c r="E262">
        <v>0.99999999999999989</v>
      </c>
    </row>
    <row r="263" spans="2:5">
      <c r="B263">
        <v>0</v>
      </c>
      <c r="C263">
        <v>0</v>
      </c>
      <c r="D263">
        <v>0</v>
      </c>
      <c r="E263">
        <v>1</v>
      </c>
    </row>
    <row r="264" spans="2:5">
      <c r="B264">
        <f t="array" ref="B264:E267">MMULT($B$260:$E$263,$B$39:$E$42)</f>
        <v>1.2360976844054369E-18</v>
      </c>
      <c r="C264">
        <v>1.5724385847063721E-19</v>
      </c>
      <c r="D264">
        <v>1.38077992192399E-18</v>
      </c>
      <c r="E264">
        <v>0.99999999999999967</v>
      </c>
    </row>
    <row r="265" spans="2:5">
      <c r="B265">
        <v>1.1210553435857259E-19</v>
      </c>
      <c r="C265">
        <v>1.4260933420430739E-20</v>
      </c>
      <c r="D265">
        <v>1.2522721539870251E-19</v>
      </c>
      <c r="E265">
        <v>1.0000000000000002</v>
      </c>
    </row>
    <row r="266" spans="2:5">
      <c r="B266">
        <v>1.1701868609592677E-20</v>
      </c>
      <c r="C266">
        <v>1.4885934944323155E-21</v>
      </c>
      <c r="D266">
        <v>1.3071543963687647E-20</v>
      </c>
      <c r="E266">
        <v>0.99999999999999989</v>
      </c>
    </row>
    <row r="267" spans="2:5">
      <c r="B267">
        <v>0</v>
      </c>
      <c r="C267">
        <v>0</v>
      </c>
      <c r="D267">
        <v>0</v>
      </c>
      <c r="E267">
        <v>1</v>
      </c>
    </row>
    <row r="268" spans="2:5">
      <c r="B268">
        <f t="array" ref="B268:E271">MMULT($B$264:$E$267,$B$39:$E$42)</f>
        <v>5.9215804841160827E-19</v>
      </c>
      <c r="C268">
        <v>7.5328364037403016E-20</v>
      </c>
      <c r="D268">
        <v>6.6146871251985854E-19</v>
      </c>
      <c r="E268">
        <v>0.99999999999999967</v>
      </c>
    </row>
    <row r="269" spans="2:5">
      <c r="B269">
        <v>5.3704650756500396E-20</v>
      </c>
      <c r="C269">
        <v>6.8317630631531054E-21</v>
      </c>
      <c r="D269">
        <v>5.9990649941379029E-20</v>
      </c>
      <c r="E269">
        <v>1.0000000000000002</v>
      </c>
    </row>
    <row r="270" spans="2:5">
      <c r="B270">
        <v>5.6058317769266593E-21</v>
      </c>
      <c r="C270">
        <v>7.1311728001921582E-22</v>
      </c>
      <c r="D270">
        <v>6.2619807972433487E-21</v>
      </c>
      <c r="E270">
        <v>0.99999999999999989</v>
      </c>
    </row>
    <row r="271" spans="2:5">
      <c r="B271">
        <v>0</v>
      </c>
      <c r="C271">
        <v>0</v>
      </c>
      <c r="D271">
        <v>0</v>
      </c>
      <c r="E271">
        <v>1</v>
      </c>
    </row>
    <row r="272" spans="2:5">
      <c r="B272">
        <f t="array" ref="B272:E275">MMULT($B$268:$E$271,$B$39:$E$42)</f>
        <v>2.8367592523021982E-19</v>
      </c>
      <c r="C272">
        <v>3.6086385082003759E-20</v>
      </c>
      <c r="D272">
        <v>3.168795046157727E-19</v>
      </c>
      <c r="E272">
        <v>0.99999999999999967</v>
      </c>
    </row>
    <row r="273" spans="2:5">
      <c r="B273">
        <v>2.572744984785961E-20</v>
      </c>
      <c r="C273">
        <v>3.2727862318042697E-21</v>
      </c>
      <c r="D273">
        <v>2.8738785486292686E-20</v>
      </c>
      <c r="E273">
        <v>1.0000000000000002</v>
      </c>
    </row>
    <row r="274" spans="2:5">
      <c r="B274">
        <v>2.6854984412865128E-21</v>
      </c>
      <c r="C274">
        <v>3.4162197870946501E-22</v>
      </c>
      <c r="D274">
        <v>2.9998295238860318E-21</v>
      </c>
      <c r="E274">
        <v>0.99999999999999989</v>
      </c>
    </row>
    <row r="275" spans="2:5">
      <c r="B275">
        <v>0</v>
      </c>
      <c r="C275">
        <v>0</v>
      </c>
      <c r="D275">
        <v>0</v>
      </c>
      <c r="E275">
        <v>1</v>
      </c>
    </row>
    <row r="276" spans="2:5">
      <c r="B276">
        <f t="array" ref="B276:E279">MMULT($B$272:$E$275,$B$39:$E$42)</f>
        <v>1.3589620333807447E-19</v>
      </c>
      <c r="C276">
        <v>1.7287341958469515E-20</v>
      </c>
      <c r="D276">
        <v>1.518025245109729E-19</v>
      </c>
      <c r="E276">
        <v>0.99999999999999967</v>
      </c>
    </row>
    <row r="277" spans="2:5">
      <c r="B277">
        <v>1.2324848339024252E-20</v>
      </c>
      <c r="C277">
        <v>1.5678426813215651E-21</v>
      </c>
      <c r="D277">
        <v>1.3767441960275605E-20</v>
      </c>
      <c r="E277">
        <v>1.0000000000000002</v>
      </c>
    </row>
    <row r="278" spans="2:5">
      <c r="B278">
        <v>1.2864998746191671E-21</v>
      </c>
      <c r="C278">
        <v>1.6365551587001989E-22</v>
      </c>
      <c r="D278">
        <v>1.4370815663216069E-21</v>
      </c>
      <c r="E278">
        <v>0.99999999999999989</v>
      </c>
    </row>
    <row r="279" spans="2:5">
      <c r="B279">
        <v>0</v>
      </c>
      <c r="C279">
        <v>0</v>
      </c>
      <c r="D279">
        <v>0</v>
      </c>
      <c r="E279">
        <v>1</v>
      </c>
    </row>
    <row r="280" spans="2:5">
      <c r="B280">
        <f t="array" ref="B280:E283">MMULT($B$276:$E$279,$B$39:$E$42)</f>
        <v>6.5101675676973955E-20</v>
      </c>
      <c r="C280">
        <v>8.281577423450428E-21</v>
      </c>
      <c r="D280">
        <v>7.2721669001111876E-20</v>
      </c>
      <c r="E280">
        <v>0.99999999999999967</v>
      </c>
    </row>
    <row r="281" spans="2:5">
      <c r="B281">
        <v>5.9042729644106694E-21</v>
      </c>
      <c r="C281">
        <v>7.5108195258400336E-22</v>
      </c>
      <c r="D281">
        <v>6.5953538022670453E-21</v>
      </c>
      <c r="E281">
        <v>1.0000000000000002</v>
      </c>
    </row>
    <row r="282" spans="2:5">
      <c r="B282">
        <v>6.1630343996857817E-22</v>
      </c>
      <c r="C282">
        <v>7.8399896797800129E-23</v>
      </c>
      <c r="D282">
        <v>6.8844026362740177E-22</v>
      </c>
      <c r="E282">
        <v>0.99999999999999989</v>
      </c>
    </row>
    <row r="283" spans="2:5">
      <c r="B283">
        <v>0</v>
      </c>
      <c r="C283">
        <v>0</v>
      </c>
      <c r="D283">
        <v>0</v>
      </c>
      <c r="E28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Scenario</vt:lpstr>
      <vt:lpstr>Model_Weights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thai</cp:lastModifiedBy>
  <dcterms:created xsi:type="dcterms:W3CDTF">2026-09-29T12:52:56Z</dcterms:created>
  <dcterms:modified xsi:type="dcterms:W3CDTF">2026-09-29T12:57:55Z</dcterms:modified>
</cp:coreProperties>
</file>